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 ACADÊMICO - INTEGRADO" sheetId="1" r:id="rId4"/>
    <sheet state="hidden" name="Cópia de CALEND ACADÊMICO - SUB" sheetId="2" r:id="rId5"/>
  </sheets>
  <definedNames>
    <definedName localSheetId="0" name="Print_Area_0_0_0">'CALEND ACADÊMICO - INTEGRADO'!$B$2:$AY$104</definedName>
    <definedName localSheetId="1" name="Print_Area_0_0_0_0">'Cópia de CALEND ACADÊMICO - SUB'!$B$2:$AY$63</definedName>
    <definedName localSheetId="0" name="Print_Area_0_0">'CALEND ACADÊMICO - INTEGRADO'!$B$2:$AY$104</definedName>
    <definedName localSheetId="0" name="Print_Area_0_0_0_0">'CALEND ACADÊMICO - INTEGRADO'!$B$2:$AY$104</definedName>
    <definedName localSheetId="0" name="Print_Area_0_0_0_0_0_0">'CALEND ACADÊMICO - INTEGRADO'!$B$2:$AY$104</definedName>
    <definedName localSheetId="1" name="Print_Area_0_0">'Cópia de CALEND ACADÊMICO - SUB'!$B$2:$AY$63</definedName>
    <definedName localSheetId="0" name="Print_Area_0">'CALEND ACADÊMICO - INTEGRADO'!$B$2:$AY$104</definedName>
    <definedName localSheetId="1" name="Print_Area_0">'Cópia de CALEND ACADÊMICO - SUB'!$B$2:$AY$63</definedName>
    <definedName localSheetId="1" name="Print_Area_0_0_0">'Cópia de CALEND ACADÊMICO - SUB'!$B$2:$AY$63</definedName>
    <definedName localSheetId="0" name="Print_Area_0_0_0_0_0">'CALEND ACADÊMICO - INTEGRADO'!$B$2:$AY$104</definedName>
    <definedName localSheetId="1" name="Print_Area_0_0_0_0_0">'Cópia de CALEND ACADÊMICO - SUB'!$B$2:$AY$63</definedName>
    <definedName localSheetId="1" name="Print_Area_0_0_0_0_0_0">'Cópia de CALEND ACADÊMICO - SUB'!$B$2:$AY$63</definedName>
  </definedNames>
  <calcPr/>
  <extLst>
    <ext uri="GoogleSheetsCustomDataVersion2">
      <go:sheetsCustomData xmlns:go="http://customooxmlschemas.google.com/" r:id="rId6" roundtripDataChecksum="0HS0Ko6VMLsGwo8uNBvsBzgJmqVbvp0ZIc1kgxPEeC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8">
      <text>
        <t xml:space="preserve">======
ID#AAABv5CoIjM
Jandresson Dias Pires    (2025-11-11 23:48:08)
Referente à sexta</t>
      </text>
    </comment>
    <comment authorId="0" ref="L9">
      <text>
        <t xml:space="preserve">Carnaval
======</t>
      </text>
    </comment>
    <comment authorId="0" ref="T17">
      <text>
        <t xml:space="preserve">Festa Junina
======</t>
      </text>
    </comment>
    <comment authorId="0" ref="AC17">
      <text>
        <t xml:space="preserve">Nossa senhora Aparecida
======</t>
      </text>
    </comment>
    <comment authorId="0" ref="V9">
      <text>
        <t xml:space="preserve">Avaliação Diagnóstica
======
ID#AAAB1RDFIwI
Diretoria Academica    (2026-03-02 17:18:07)
Avaliação Diagnóstica</t>
      </text>
    </comment>
    <comment authorId="0" ref="W9">
      <text>
        <t xml:space="preserve">Reunião de pais e mestres
======</t>
      </text>
    </comment>
    <comment authorId="0" ref="AE17">
      <text>
        <t xml:space="preserve">Semana Nacional de Ciência e Tecnologia (SNCT)
======</t>
      </text>
    </comment>
    <comment authorId="0" ref="X9">
      <text>
        <t xml:space="preserve">Referente à sexta + professores de PPA de 2º ano
======</t>
      </text>
    </comment>
    <comment authorId="0" ref="AH17">
      <text>
        <t xml:space="preserve">======
ID#AAABv5CoIjc
Jandresson Dias Pires    (2025-11-11 23:50:03)
Referente à segunda</t>
      </text>
    </comment>
    <comment authorId="0" ref="D18">
      <text>
        <t xml:space="preserve">Tiradentes
======</t>
      </text>
    </comment>
    <comment authorId="0" ref="H18">
      <text>
        <t xml:space="preserve">======
ID#AAABv5CoIi8
Jandresson Dias Pires    (2025-11-11 23:46:48)
Referente à sexta</t>
      </text>
    </comment>
    <comment authorId="0" ref="AO17">
      <text>
        <t xml:space="preserve">Reunião de pais e mestres
======</t>
      </text>
    </comment>
    <comment authorId="0" ref="AH9">
      <text>
        <t xml:space="preserve">Julho das Pretas
======
ID#AAABv5CoIjI
Jandresson Dias Pires    (2025-11-11 23:47:47)
Referente à sexta</t>
      </text>
    </comment>
    <comment authorId="0" ref="AP17">
      <text>
        <t xml:space="preserve">======
ID#AAABv5CoIjk
Jandresson Dias Pires    (2025-11-11 23:50:55)
Referente à segunda</t>
      </text>
    </comment>
    <comment authorId="0" ref="BV16">
      <text>
        <t xml:space="preserve">Emancipação de Brumado
======</t>
      </text>
    </comment>
    <comment authorId="0" ref="AQ17">
      <text>
        <t xml:space="preserve">Proclamação da república
======</t>
      </text>
    </comment>
    <comment authorId="0" ref="F6">
      <text>
        <t xml:space="preserve">Confraternização Universal
======</t>
      </text>
    </comment>
    <comment authorId="0" ref="U18">
      <text>
        <t xml:space="preserve">São João
======</t>
      </text>
    </comment>
    <comment authorId="0" ref="AX9">
      <text>
        <t xml:space="preserve">======
ID#AAABv5CoIjY
Jandresson Dias Pires    (2025-11-11 23:49:47)
Referente à sexta</t>
      </text>
    </comment>
    <comment authorId="0" ref="W10">
      <text>
        <t xml:space="preserve">======
ID#AAAB0nvpT6E
Diretoria Academica    (2026-02-22 01:34:52)
Formatura</t>
      </text>
    </comment>
    <comment authorId="0" ref="X10">
      <text>
        <t xml:space="preserve">Referente à sexta
======
ID#AAAB0nvpT6I
Diretoria Academica    (2026-02-22 01:35:18)
Formatura</t>
      </text>
    </comment>
    <comment authorId="0" ref="BD9">
      <text>
        <t xml:space="preserve">Dia de São Sebastião
======</t>
      </text>
    </comment>
    <comment authorId="0" ref="AH18">
      <text>
        <t xml:space="preserve">======
ID#AAABv5CoIjg
Jandresson Dias Pires    (2025-11-11 23:50:42)
Referente à quarta</t>
      </text>
    </comment>
    <comment authorId="0" ref="BG9">
      <text>
        <t xml:space="preserve">======
ID#AAABv5CoIjs
Jandresson Dias Pires    (2025-11-11 23:52:14)
Referente à quarta</t>
      </text>
    </comment>
    <comment authorId="0" ref="AM18">
      <text>
        <t xml:space="preserve">Semana da Consciência Negra
======</t>
      </text>
    </comment>
    <comment authorId="0" ref="AO18">
      <text>
        <t xml:space="preserve">Consciência Negra 
======</t>
      </text>
    </comment>
    <comment authorId="0" ref="G15">
      <text>
        <t xml:space="preserve">Sexta Feira Santa
======</t>
      </text>
    </comment>
    <comment authorId="0" ref="K19">
      <text>
        <t xml:space="preserve">Jogos Inter classe
======</t>
      </text>
    </comment>
    <comment authorId="0" ref="AF6">
      <text>
        <t xml:space="preserve">Independência da Bahia
======</t>
      </text>
    </comment>
    <comment authorId="0" ref="P19">
      <text>
        <t xml:space="preserve">======
ID#AAABv5CoIjA
Jandresson Dias Pires    (2025-11-11 23:46:57)
Referente à sexta</t>
      </text>
    </comment>
    <comment authorId="0" ref="AW18">
      <text>
        <t xml:space="preserve">Natal
======</t>
      </text>
    </comment>
    <comment authorId="0" ref="O15">
      <text>
        <t xml:space="preserve">Dia do Trabalho
======</t>
      </text>
    </comment>
    <comment authorId="0" ref="AP10">
      <text>
        <t xml:space="preserve">======
ID#AAABv5CoIjQ
Jandresson Dias Pires    (2025-11-11 23:48:16)
Referente à segunda</t>
      </text>
    </comment>
    <comment authorId="0" ref="BV9">
      <text>
        <t xml:space="preserve">Sexta Feira Santa
======</t>
      </text>
    </comment>
    <comment authorId="0" ref="BD18">
      <text>
        <t xml:space="preserve">Tiradentes
======</t>
      </text>
    </comment>
    <comment authorId="0" ref="V15">
      <text>
        <t xml:space="preserve">Corpus Christi
======</t>
      </text>
    </comment>
    <comment authorId="0" ref="AE19">
      <text>
        <t xml:space="preserve">Dia do Servidor Público
======</t>
      </text>
    </comment>
    <comment authorId="0" ref="BF6">
      <text>
        <t xml:space="preserve">Confraternização Universal
======</t>
      </text>
    </comment>
    <comment authorId="0" ref="BU18">
      <text>
        <t xml:space="preserve">São João
======</t>
      </text>
    </comment>
    <comment authorId="0" ref="AP19">
      <text>
        <t xml:space="preserve">======
ID#AAABv5CoIjo
Jandresson Dias Pires    (2025-11-11 23:51:15)
Referente à sexta</t>
      </text>
    </comment>
    <comment authorId="0" ref="H16">
      <text>
        <t xml:space="preserve">======
ID#AAABv5CoIi0
Jandresson Dias Pires    (2025-11-11 23:46:20)
Referente à Quinta</t>
      </text>
    </comment>
    <comment authorId="0" ref="AN7">
      <text>
        <t xml:space="preserve">Louvor ao Bom Jesus
======</t>
      </text>
    </comment>
    <comment authorId="0" ref="T16">
      <text>
        <t xml:space="preserve">======
ID#AAAB0D6MXPQ
Jandresson Dias Pires    (2026-02-10 10:49:32)
OBMEP</t>
      </text>
    </comment>
    <comment authorId="0" ref="AS7">
      <text>
        <t xml:space="preserve">Independência do Brasil
======</t>
      </text>
    </comment>
    <comment authorId="0" ref="V16">
      <text>
        <t xml:space="preserve">Emancipação de Brumado
======</t>
      </text>
    </comment>
    <comment authorId="0" ref="S8">
      <text>
        <t xml:space="preserve">Início da 1ª unidade/Acolhimento e integração do aluno ao campus
======</t>
      </text>
    </comment>
    <comment authorId="0" ref="AX7">
      <text>
        <t xml:space="preserve">======
ID#AAABv5CoIjU
Jandresson Dias Pires    (2025-11-11 23:49:19)
Referente à quinta</t>
      </text>
    </comment>
    <comment authorId="0" ref="T8">
      <text>
        <t xml:space="preserve">Acolhimento e integração do aluno ao campus
======</t>
      </text>
    </comment>
    <comment authorId="0" ref="BM19">
      <text>
        <t xml:space="preserve">Corpus Christi
======</t>
      </text>
    </comment>
    <comment authorId="0" ref="W8">
      <text>
        <t xml:space="preserve">Reunião de pais e mestres
======</t>
      </text>
    </comment>
    <comment authorId="0" ref="BO15">
      <text>
        <t xml:space="preserve">Dia do Trabalho
======</t>
      </text>
    </comment>
    <comment authorId="0" ref="AK16">
      <text>
        <t xml:space="preserve">Dia de Finados
======</t>
      </text>
    </comment>
    <comment authorId="0" ref="BK7">
      <text>
        <t xml:space="preserve">Carnaval
======</t>
      </text>
    </comment>
    <comment authorId="0" ref="AG8">
      <text>
        <t xml:space="preserve">Reunião de pais e mestres
======</t>
      </text>
    </comment>
    <comment authorId="0" ref="AH8">
      <text>
        <t xml:space="preserve">======
ID#AAABv5CoIjE
Jandresson Dias Pires    (2025-11-11 23:47:28)
Referente à segunda</t>
      </text>
    </comment>
    <comment authorId="0" ref="D9">
      <text>
        <t xml:space="preserve">Dia de São Sebastião
======</t>
      </text>
    </comment>
    <comment authorId="0" ref="P17">
      <text>
        <t xml:space="preserve">======
ID#AAABv5CoIi4
Jandresson Dias Pires    (2025-11-11 23:46:31)
Referente à Quinta</t>
      </text>
    </comment>
  </commentList>
  <extLst>
    <ext uri="GoogleSheetsCustomDataVersion2">
      <go:sheetsCustomData xmlns:go="http://customooxmlschemas.google.com/" r:id="rId1" roundtripDataSignature="AMtx7miJpElOh3Ttp3BuplhefWR59QtCpw=="/>
    </ext>
  </extLst>
</comments>
</file>

<file path=xl/sharedStrings.xml><?xml version="1.0" encoding="utf-8"?>
<sst xmlns="http://schemas.openxmlformats.org/spreadsheetml/2006/main" count="578" uniqueCount="220">
  <si>
    <t>CAMPUS DE BRUMADO</t>
  </si>
  <si>
    <t>CALENDÁRIO ACADÊMICO 2025  /  CURSOS DE NÍVEL SUBSEQUENTE</t>
  </si>
  <si>
    <t>CALENDÁRIO ACADÊMICO 2026 / CURSOS DE NÍVEL SUBSEQUENTE</t>
  </si>
  <si>
    <t>CALENDÁRIO ACADÊMICO 2026  /  CURSOS DE NÍVEL INTEGRADO</t>
  </si>
  <si>
    <t>CALENDÁRIO ACADÊMICO 2027 / CURSOS DE NÍVEL INTEGRADO</t>
  </si>
  <si>
    <t>J A N</t>
  </si>
  <si>
    <t>S</t>
  </si>
  <si>
    <t>T</t>
  </si>
  <si>
    <t>Q</t>
  </si>
  <si>
    <t>D</t>
  </si>
  <si>
    <t>F E V</t>
  </si>
  <si>
    <t>M A R</t>
  </si>
  <si>
    <t>J U L</t>
  </si>
  <si>
    <t>A G O</t>
  </si>
  <si>
    <t>S E T</t>
  </si>
  <si>
    <t>A B R</t>
  </si>
  <si>
    <t>M A I</t>
  </si>
  <si>
    <t>J U N</t>
  </si>
  <si>
    <t>O U T</t>
  </si>
  <si>
    <t>N O V</t>
  </si>
  <si>
    <t>D E Z</t>
  </si>
  <si>
    <t>1º Semestre Letivo</t>
  </si>
  <si>
    <r>
      <rPr>
        <rFont val="Calibri"/>
        <b/>
        <color theme="1"/>
        <sz val="8.0"/>
      </rPr>
      <t xml:space="preserve">TOTAL DE DIAS LETIVOS       </t>
    </r>
    <r>
      <rPr>
        <rFont val="Arial"/>
        <b/>
        <color theme="1"/>
        <sz val="8.0"/>
      </rPr>
      <t>Æ</t>
    </r>
  </si>
  <si>
    <t>2º Semestre Letivo</t>
  </si>
  <si>
    <r>
      <rPr>
        <rFont val="Calibri"/>
        <b/>
        <color rgb="FF000000"/>
        <sz val="8.0"/>
      </rPr>
      <t xml:space="preserve">TOTAL DE DIAS LETIVOS       </t>
    </r>
    <r>
      <rPr>
        <rFont val="Wingdings 3"/>
        <b/>
        <color rgb="FF000000"/>
        <sz val="8.0"/>
      </rPr>
      <t>Æ</t>
    </r>
  </si>
  <si>
    <r>
      <rPr>
        <rFont val="Calibri"/>
        <b/>
        <color theme="1"/>
        <sz val="8.0"/>
      </rPr>
      <t xml:space="preserve">SÁBADOS LETIVOS     </t>
    </r>
    <r>
      <rPr>
        <rFont val="Arial"/>
        <b/>
        <color theme="1"/>
        <sz val="8.0"/>
      </rPr>
      <t>2025</t>
    </r>
  </si>
  <si>
    <t>INÍCIO: xx/xx/2025</t>
  </si>
  <si>
    <t>TÉRMINO: xx/xx/2025</t>
  </si>
  <si>
    <t>TÉRMINO: xx/xx/2026</t>
  </si>
  <si>
    <r>
      <rPr>
        <rFont val="Calibri"/>
        <b/>
        <color rgb="FF953735"/>
        <sz val="7.0"/>
        <u/>
      </rPr>
      <t xml:space="preserve">DIAS LETIVOS ESPECÍFICOS    </t>
    </r>
    <r>
      <rPr>
        <rFont val="Calibri"/>
        <b/>
        <color rgb="FF000000"/>
        <sz val="7.0"/>
        <u/>
      </rPr>
      <t xml:space="preserve"> </t>
    </r>
  </si>
  <si>
    <t>SEG</t>
  </si>
  <si>
    <t>TER</t>
  </si>
  <si>
    <t>QUA</t>
  </si>
  <si>
    <t>QUI</t>
  </si>
  <si>
    <t>SEX</t>
  </si>
  <si>
    <t>SÁB</t>
  </si>
  <si>
    <r>
      <rPr>
        <rFont val="Calibri"/>
        <b/>
        <color rgb="FF953735"/>
        <sz val="7.0"/>
        <u/>
      </rPr>
      <t>DIAS LETIVOS ESPECÍFICOS</t>
    </r>
    <r>
      <rPr>
        <rFont val="Calibri"/>
        <b/>
        <color rgb="FF953735"/>
        <sz val="7.0"/>
        <u/>
      </rPr>
      <t xml:space="preserve">    </t>
    </r>
    <r>
      <rPr>
        <rFont val="Calibri"/>
        <b/>
        <color rgb="FF000000"/>
        <sz val="7.0"/>
        <u/>
      </rPr>
      <t xml:space="preserve"> </t>
    </r>
    <r>
      <rPr>
        <rFont val="Wingdings 3"/>
        <b/>
        <color rgb="FF000000"/>
        <sz val="7.0"/>
        <u/>
      </rPr>
      <t>º</t>
    </r>
  </si>
  <si>
    <t xml:space="preserve">TOTAL DE DIAS LETIVOS       </t>
  </si>
  <si>
    <r>
      <rPr>
        <rFont val="Calibri"/>
        <b/>
        <color rgb="FF000000"/>
        <sz val="8.0"/>
      </rPr>
      <t xml:space="preserve">TOTAL DE DIAS LETIVOS NO ANO          </t>
    </r>
    <r>
      <rPr>
        <rFont val="Wingdings 3"/>
        <b/>
        <color rgb="FF000000"/>
        <sz val="8.0"/>
      </rPr>
      <t>Æ</t>
    </r>
  </si>
  <si>
    <t xml:space="preserve">TOTAL DE DIAS LETIVOS      </t>
  </si>
  <si>
    <r>
      <rPr>
        <rFont val="Calibri"/>
        <b/>
        <color rgb="FF000000"/>
        <sz val="7.0"/>
      </rPr>
      <t xml:space="preserve">INÍCIO PERÍODO LETIVO SEGUINTE  </t>
    </r>
    <r>
      <rPr>
        <rFont val="Wingdings 3"/>
        <b/>
        <color rgb="FF000000"/>
        <sz val="7.0"/>
      </rPr>
      <t>Æ</t>
    </r>
  </si>
  <si>
    <t>xx/xx/2026</t>
  </si>
  <si>
    <t>INÍCIO: 09/03/2026</t>
  </si>
  <si>
    <t>TÉRMINO: 17/06/2026</t>
  </si>
  <si>
    <t>Início de Unidade</t>
  </si>
  <si>
    <t>Fim de Unidade</t>
  </si>
  <si>
    <t>INÍCIO: 07/07/2026</t>
  </si>
  <si>
    <t>Dia Não Letivo</t>
  </si>
  <si>
    <t>TÉRMINO: 12/02/2027</t>
  </si>
  <si>
    <t>Dia Letivo</t>
  </si>
  <si>
    <t>Férias Docentes</t>
  </si>
  <si>
    <t>Feriado</t>
  </si>
  <si>
    <r>
      <rPr>
        <rFont val="Calibri"/>
        <b/>
        <color rgb="FF953735"/>
        <sz val="7.0"/>
        <u/>
      </rPr>
      <t xml:space="preserve">DIAS LETIVOS ESPECÍFICOS    </t>
    </r>
    <r>
      <rPr>
        <rFont val="Calibri"/>
        <b/>
        <color rgb="FF000000"/>
        <sz val="7.0"/>
        <u/>
      </rPr>
      <t xml:space="preserve"> </t>
    </r>
  </si>
  <si>
    <t>02 A 13 DE JANEIRO</t>
  </si>
  <si>
    <t>Eventos</t>
  </si>
  <si>
    <t>Exames Finais</t>
  </si>
  <si>
    <t>Acolhimento</t>
  </si>
  <si>
    <t>Reunião Pedagógica</t>
  </si>
  <si>
    <t>Período de Recurso</t>
  </si>
  <si>
    <t>31 DE MARCO A 17 DE ABRIL</t>
  </si>
  <si>
    <t>FERIADOS</t>
  </si>
  <si>
    <r>
      <rPr>
        <rFont val="Calibri"/>
        <b/>
        <color rgb="FF953735"/>
        <sz val="7.0"/>
        <u/>
      </rPr>
      <t>DIAS LETIVOS ESPECÍFICOS</t>
    </r>
    <r>
      <rPr>
        <rFont val="Calibri"/>
        <b/>
        <color rgb="FF953735"/>
        <sz val="7.0"/>
        <u/>
      </rPr>
      <t xml:space="preserve">    </t>
    </r>
    <r>
      <rPr>
        <rFont val="Calibri"/>
        <b/>
        <color rgb="FF000000"/>
        <sz val="7.0"/>
        <u/>
      </rPr>
      <t xml:space="preserve"> </t>
    </r>
    <r>
      <rPr>
        <rFont val="Wingdings 3"/>
        <b/>
        <color rgb="FF000000"/>
        <sz val="7.0"/>
        <u/>
      </rPr>
      <t>º</t>
    </r>
  </si>
  <si>
    <t>15 A 29 DE SETEMBRO</t>
  </si>
  <si>
    <t>01/01-Confraternização Universal</t>
  </si>
  <si>
    <t>20/01-São Sebastião</t>
  </si>
  <si>
    <t>04/03-Carnaval</t>
  </si>
  <si>
    <t>05/03-Quarta de Cinzas</t>
  </si>
  <si>
    <t>18/04-Paixão de Cristo</t>
  </si>
  <si>
    <t>21/04 - Tiradentes</t>
  </si>
  <si>
    <t xml:space="preserve">TOTAL DE DIAS LETIVOS em 2026         </t>
  </si>
  <si>
    <t>01/05 - Dia do Trabalho</t>
  </si>
  <si>
    <t>INÍCIO PERÍODO LETIVO SEGUINTE</t>
  </si>
  <si>
    <t>11/06 - Aniversário de Brumado</t>
  </si>
  <si>
    <t>19/06-Corpus Christi</t>
  </si>
  <si>
    <t>24/06 - Sâo João</t>
  </si>
  <si>
    <t>02/07 - Independência da Bahia</t>
  </si>
  <si>
    <t>06/08- Bom Jesus</t>
  </si>
  <si>
    <t>07/09 - Independência do Brasil</t>
  </si>
  <si>
    <t>12/10- N. Senhora Aparecida</t>
  </si>
  <si>
    <t>28/10-Dia Servidor Público</t>
  </si>
  <si>
    <t>02/11- Finados</t>
  </si>
  <si>
    <t>15/11 - Proclamação da República</t>
  </si>
  <si>
    <t>20/11  - Cons. Negra</t>
  </si>
  <si>
    <t>25/12 - Natal</t>
  </si>
  <si>
    <t>17/02/26-Carnaval</t>
  </si>
  <si>
    <t>18/02/26 -Quarta de Cinzas</t>
  </si>
  <si>
    <t>03/04/26 - Paixão de Cristo</t>
  </si>
  <si>
    <t>04/06/26 - Corpus Christi</t>
  </si>
  <si>
    <t>DATA/PERÍODO</t>
  </si>
  <si>
    <t>A T I V I D A D E S</t>
  </si>
  <si>
    <t>1º SEM LET</t>
  </si>
  <si>
    <t>2º SEM LET</t>
  </si>
  <si>
    <t>Reunião - Conselho de Classe</t>
  </si>
  <si>
    <t>Publicação de Edital para "Programas Seletivos - Assistência Estudantil" (PAAE) (primeiro trimestre)</t>
  </si>
  <si>
    <r>
      <rPr>
        <rFont val="Calibri"/>
        <b/>
        <color rgb="FF953735"/>
        <sz val="7.0"/>
        <u/>
      </rPr>
      <t>DIAS LETIVOS ESPECÍFICOS</t>
    </r>
    <r>
      <rPr>
        <rFont val="Calibri"/>
        <b/>
        <color rgb="FF953735"/>
        <sz val="7.0"/>
        <u/>
      </rPr>
      <t xml:space="preserve">    </t>
    </r>
    <r>
      <rPr>
        <rFont val="Calibri"/>
        <b/>
        <color rgb="FF000000"/>
        <sz val="7.0"/>
        <u/>
      </rPr>
      <t xml:space="preserve"> </t>
    </r>
    <r>
      <rPr>
        <rFont val="Wingdings 3"/>
        <b/>
        <color rgb="FF000000"/>
        <sz val="7.0"/>
        <u/>
      </rPr>
      <t>º</t>
    </r>
  </si>
  <si>
    <t>Publicação de Edital para "Programas Universais - Assistência Estudantil" (primeiro trimestre)</t>
  </si>
  <si>
    <t>Publicação de Edital para "Programas Complementares - Assistência Estudantil" (primeiro trimestre)</t>
  </si>
  <si>
    <t>Férias docentes - 1ª parcela, correspondente ao ano de 2024</t>
  </si>
  <si>
    <t>Férias docentes - 2ª parcela, correspondente ao ano de 2024</t>
  </si>
  <si>
    <t>Carnaval 09/02/2027</t>
  </si>
  <si>
    <t>Matrícula Institucional dos candidatos aprovados em Processo Seletivo</t>
  </si>
  <si>
    <t>04/06-Corpus Christi</t>
  </si>
  <si>
    <t>Matrícula Institucional dos aprovados nas solicitações de Transferências Interna e Externa, de Portador de Diploma e nas categorias “Ouvinte” e “Especial”</t>
  </si>
  <si>
    <t>30/10-Dia Servidor Público</t>
  </si>
  <si>
    <t>Inscrição em disciplinas na forma presencial ou por Solicitação via “web” (quando houver)</t>
  </si>
  <si>
    <t xml:space="preserve">Confirmação das disciplinas solicitadas via “web” </t>
  </si>
  <si>
    <t xml:space="preserve"> -Quarta de Cinzas</t>
  </si>
  <si>
    <t>03/04  - Paixão de Cristo</t>
  </si>
  <si>
    <t>Orientação dos Coordenadores aos estudantes que não obtiveram êxito em sua inscrição em disciplinas na forma presencial ou nas solicitações via “web” (quando houver)</t>
  </si>
  <si>
    <t>Solicitações para Transferências Interna e Externa, como Portador de Diploma e Matrícula nas categorias de estudante Ouvinte e Especial</t>
  </si>
  <si>
    <t>Jornada Pedagógica</t>
  </si>
  <si>
    <t>Início Semestre Letivo</t>
  </si>
  <si>
    <t>ANO LETIVO DE 2025</t>
  </si>
  <si>
    <t>Semana de Acolhimento Discente</t>
  </si>
  <si>
    <t>02 a 21/01/2026</t>
  </si>
  <si>
    <t>Férias docentes - 1ª parcela, correspondente ao ano de 2026</t>
  </si>
  <si>
    <t>Solicitação das disciplinas a serem oferecidas no próximo Semestre Letivo</t>
  </si>
  <si>
    <t>18/06/2026 a 07/07/2026</t>
  </si>
  <si>
    <t>Férias docentes - 2ª parcela, correspondente ao ano de 2026</t>
  </si>
  <si>
    <t>Confirmação das disciplinas a serem oferecidas no próximo Semestre Letivo</t>
  </si>
  <si>
    <t>16/09/2026 a 21/09/2026</t>
  </si>
  <si>
    <t>Férias docentes - 3ª parcela, correspondente ao ano de 2026</t>
  </si>
  <si>
    <t>Reunião Colegiado do Curso</t>
  </si>
  <si>
    <t>19/01/2026 a 23/01/2026</t>
  </si>
  <si>
    <t>Planejamento de Ensino</t>
  </si>
  <si>
    <t>Solicitação de Reintegração de curso</t>
  </si>
  <si>
    <t>25 a 28/02/2026</t>
  </si>
  <si>
    <t>Solicitação de trancamento de matrícula ( Parcial/ Total) de disciplinas</t>
  </si>
  <si>
    <t>Solicitações para Transferências Interna e Externa e de Portador de Diploma ou Certificado de Qualificação Profissional Técnica de Nível Médio</t>
  </si>
  <si>
    <t>Publicação dos resultados parciais de aprendizagem</t>
  </si>
  <si>
    <t>05 e 06/03/2026</t>
  </si>
  <si>
    <t>Matrícula Institucional dos aprovados nas solicitações de Transferências Interna e Externa e de Portador de Diploma ou Certificado de Qualificação Profissional Técnica de Nível Médio</t>
  </si>
  <si>
    <t>09/03 a 09/05/2026</t>
  </si>
  <si>
    <t>Solicitações para mudança de Turno</t>
  </si>
  <si>
    <t>Publicação dos resultados finais de aprendizagem</t>
  </si>
  <si>
    <t>03 a 06/03/2026</t>
  </si>
  <si>
    <t xml:space="preserve">Renovação de matrícula online para estudantes remanescentes </t>
  </si>
  <si>
    <t>Prazo para interposição de recurso do resultado final</t>
  </si>
  <si>
    <t>Data de Colação de Grau (quando houver)</t>
  </si>
  <si>
    <t xml:space="preserve">Inicio do ano Letivo </t>
  </si>
  <si>
    <t>Data limite para requerer colação de grau</t>
  </si>
  <si>
    <t>09 e 10/03/2026</t>
  </si>
  <si>
    <t>Acolhimento e integração do aluno ao campus</t>
  </si>
  <si>
    <t>Seminário de Educação Inclusiva - SEIIF</t>
  </si>
  <si>
    <t>1ª Reunião de Pais e Mestres</t>
  </si>
  <si>
    <t>Festa Junina</t>
  </si>
  <si>
    <t>Julho das Pretas</t>
  </si>
  <si>
    <t>Eleições para Representante de Turma</t>
  </si>
  <si>
    <t>Semana de Ciência e Tecnologia</t>
  </si>
  <si>
    <t>Até 21/03/2026</t>
  </si>
  <si>
    <t>Data Limite de envio pelas Coordenações da relação de Estudantes aptos a Colar Grau (Ano letivo 2025)</t>
  </si>
  <si>
    <t>Semana da Consciência Negra - (20 de novembro)</t>
  </si>
  <si>
    <t>Prazo para Entrega do PIT 2024.1</t>
  </si>
  <si>
    <t>Prazo para Entrega do PIT 2024.2</t>
  </si>
  <si>
    <t>14 e 15 /04/2026</t>
  </si>
  <si>
    <t>Abril Indígena</t>
  </si>
  <si>
    <t>Prazo para Entrega do RIT 2023</t>
  </si>
  <si>
    <t>07/04/2026</t>
  </si>
  <si>
    <t>Data Limite de envio pelas Coordenações da relação de Estudantes aptos a Colar Grau (Ano letivo 2024)</t>
  </si>
  <si>
    <t>Prazo para Entrega do RIT 2025.1 E 2025.2</t>
  </si>
  <si>
    <t>Prazo para apresentação de proposta de calendário acadêmico 2025</t>
  </si>
  <si>
    <t>Prazo para entrega de projeto de PPA</t>
  </si>
  <si>
    <t>Prazo para distribuição dos componetes curriculares para o próximo período letivo entre os docentes</t>
  </si>
  <si>
    <t>09/04/2026</t>
  </si>
  <si>
    <t>Elaboração dos horários de aulas do próximo Semestre Letivo</t>
  </si>
  <si>
    <t>27 e 28/03/2026</t>
  </si>
  <si>
    <t>Aprovação e publicação dos horários de aulas do próximo Semestre Letivo</t>
  </si>
  <si>
    <t>Cerimônia de Formatura referente ao ano 2025</t>
  </si>
  <si>
    <t>Prazo para entrega dos planos de ensino do próximo semestre letivo</t>
  </si>
  <si>
    <t>22/04/2026</t>
  </si>
  <si>
    <t>Prazo para Entrega do PIT 2026.1</t>
  </si>
  <si>
    <t>06/05/2026</t>
  </si>
  <si>
    <t>08/05/2026</t>
  </si>
  <si>
    <t>Atualização da caracterização socioeconômica discente no SUAP</t>
  </si>
  <si>
    <t>Até 13/04/2026</t>
  </si>
  <si>
    <t>Período para solicitação de Reintegração ao Curso</t>
  </si>
  <si>
    <t>Até 04/05/2026</t>
  </si>
  <si>
    <t>Período para Trancamento de Matrícula (não ultrapassar os 25% de aulas transcorridas no semestre)</t>
  </si>
  <si>
    <t>25, 26 e 27/05/26</t>
  </si>
  <si>
    <t>Jogos de Inter classe</t>
  </si>
  <si>
    <t>16/06/2026</t>
  </si>
  <si>
    <t xml:space="preserve">Festa Junina </t>
  </si>
  <si>
    <t>Fim da unidade I</t>
  </si>
  <si>
    <t>Prazo Final para a entrega de Resultados da 1ª Unidades à CORAC</t>
  </si>
  <si>
    <t>Prazo Final para ajustes no diário</t>
  </si>
  <si>
    <t>Inicio da Unidade II</t>
  </si>
  <si>
    <t>07 a 09/07/2026</t>
  </si>
  <si>
    <t>Conselho de Classe Diagnóstico e Prognóstico - 1ª Unidade</t>
  </si>
  <si>
    <t>2ª Reunião de Pais e Mestres</t>
  </si>
  <si>
    <t>25/07/2026</t>
  </si>
  <si>
    <t>04/08/2026</t>
  </si>
  <si>
    <t>01/09/2026</t>
  </si>
  <si>
    <t>28 e 29/10/2026</t>
  </si>
  <si>
    <t>Semana Nacional de Ciência e Tecnologia (SNCT)</t>
  </si>
  <si>
    <t>01 e 02/10/2026</t>
  </si>
  <si>
    <t>SEIIF - Seminário de Educação Inclusiva do IFBA</t>
  </si>
  <si>
    <t>Prazo para apresentação de proposta de calendário acadêmico 2027</t>
  </si>
  <si>
    <t>Fim da unidade II</t>
  </si>
  <si>
    <t>Prazo Final para a entrega de Resultados da 2ª Unidades à CORAC</t>
  </si>
  <si>
    <t>Inicio da Unidade III</t>
  </si>
  <si>
    <t>03 a 05/11/2026</t>
  </si>
  <si>
    <t>Conselho de Classe Diagnóstico e Prognóstico - 2ª Unidade</t>
  </si>
  <si>
    <t>03/11/2026</t>
  </si>
  <si>
    <t>Prazo para Entrega do RIT 2026.1</t>
  </si>
  <si>
    <t>3ª Reunião de Pais e Mestres</t>
  </si>
  <si>
    <t>18 a 19/11/2026</t>
  </si>
  <si>
    <t>23/11/2026</t>
  </si>
  <si>
    <t>Prazo para Entrega do PIT 2026.2</t>
  </si>
  <si>
    <t>02/12/2026</t>
  </si>
  <si>
    <t>15/12/2026</t>
  </si>
  <si>
    <t>Prazo para apresentação final de PPA</t>
  </si>
  <si>
    <t>16 e 17/12/2026</t>
  </si>
  <si>
    <t>III Mostra de TCC</t>
  </si>
  <si>
    <t>Fim da unidade III</t>
  </si>
  <si>
    <t>Prazo Final para a entrega de Resultados da 3ª Unidades à CORAC</t>
  </si>
  <si>
    <t>15 a 17/02/2027</t>
  </si>
  <si>
    <t>Conselho de Classe Final</t>
  </si>
  <si>
    <t>18 e 19/02/2027</t>
  </si>
  <si>
    <t>Prazo para interposição de recurso à decisão final do conselho de classe</t>
  </si>
  <si>
    <t>Prazo para resposta às interposições de recursos à decisão do conselho de classe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</si>
</sst>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7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8.0"/>
      <color theme="1"/>
      <name val="Calibri"/>
    </font>
    <font>
      <sz val="7.0"/>
      <color theme="1"/>
      <name val="Calibri"/>
    </font>
    <font>
      <b/>
      <u/>
      <sz val="8.0"/>
      <color theme="1"/>
      <name val="Calibri"/>
    </font>
    <font>
      <sz val="7.0"/>
      <color rgb="FFFFFFFF"/>
      <name val="Calibri"/>
    </font>
    <font>
      <sz val="7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sz val="9.0"/>
      <color theme="1"/>
      <name val="Calibri"/>
    </font>
    <font>
      <b/>
      <u/>
      <sz val="8.0"/>
      <color theme="1"/>
      <name val="Calibri"/>
    </font>
    <font>
      <b/>
      <color theme="1"/>
      <name val="Calibri"/>
    </font>
    <font>
      <b/>
      <u/>
      <sz val="7.0"/>
      <color rgb="FF953735"/>
      <name val="Calibri"/>
    </font>
    <font>
      <b/>
      <sz val="7.0"/>
      <color theme="1"/>
      <name val="Calibri"/>
    </font>
    <font>
      <b/>
      <u/>
      <sz val="8.0"/>
      <color theme="1"/>
      <name val="Calibri"/>
    </font>
    <font>
      <b/>
      <u/>
      <sz val="7.0"/>
      <color rgb="FF953735"/>
      <name val="Calibri"/>
    </font>
    <font>
      <sz val="10.0"/>
      <color theme="1"/>
      <name val="Calibri"/>
    </font>
    <font>
      <b/>
      <sz val="8.0"/>
      <color rgb="FFFF0000"/>
      <name val="Calibri"/>
    </font>
    <font>
      <b/>
      <u/>
      <sz val="7.0"/>
      <color rgb="FF953735"/>
      <name val="Calibri"/>
    </font>
    <font>
      <sz val="10.0"/>
      <color rgb="FF000000"/>
      <name val="Calibri"/>
    </font>
    <font>
      <color rgb="FF000000"/>
      <name val="Calibri"/>
      <scheme val="minor"/>
    </font>
    <font>
      <sz val="9.0"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BF1DE"/>
        <bgColor rgb="FFEBF1D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0000FF"/>
        <bgColor rgb="FF0000FF"/>
      </patternFill>
    </fill>
    <fill>
      <patternFill patternType="solid">
        <fgColor rgb="FF783F04"/>
        <bgColor rgb="FF783F04"/>
      </patternFill>
    </fill>
    <fill>
      <patternFill patternType="solid">
        <fgColor rgb="FF953735"/>
        <bgColor rgb="FF953735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741B47"/>
        <bgColor rgb="FF741B47"/>
      </patternFill>
    </fill>
    <fill>
      <patternFill patternType="solid">
        <fgColor rgb="FFB45F06"/>
        <bgColor rgb="FFB45F06"/>
      </patternFill>
    </fill>
    <fill>
      <patternFill patternType="solid">
        <fgColor rgb="FFE6B9B8"/>
        <bgColor rgb="FFE6B9B8"/>
      </patternFill>
    </fill>
    <fill>
      <patternFill patternType="solid">
        <fgColor rgb="FFFCD5B5"/>
        <bgColor rgb="FFFCD5B5"/>
      </patternFill>
    </fill>
    <fill>
      <patternFill patternType="solid">
        <fgColor rgb="FFF79646"/>
        <bgColor rgb="FFF79646"/>
      </patternFill>
    </fill>
    <fill>
      <patternFill patternType="solid">
        <fgColor rgb="FFCFE2F3"/>
        <bgColor rgb="FFCFE2F3"/>
      </patternFill>
    </fill>
    <fill>
      <patternFill patternType="solid">
        <fgColor rgb="FFD7E4BD"/>
        <bgColor rgb="FFD7E4BD"/>
      </patternFill>
    </fill>
    <fill>
      <patternFill patternType="solid">
        <fgColor rgb="FFFFE6DD"/>
        <bgColor rgb="FFFFE6DD"/>
      </patternFill>
    </fill>
  </fills>
  <borders count="51">
    <border/>
    <border>
      <left/>
      <right/>
      <top/>
      <bottom/>
    </border>
    <border>
      <left/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/>
      <top/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2" fillId="2" fontId="1" numFmtId="0" xfId="0" applyAlignment="1" applyBorder="1" applyFill="1" applyFont="1">
      <alignment shrinkToFit="0" vertical="center" wrapText="0"/>
    </xf>
    <xf borderId="3" fillId="3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1" fillId="2" fontId="2" numFmtId="0" xfId="0" applyAlignment="1" applyBorder="1" applyFill="1" applyFont="1">
      <alignment vertical="center"/>
    </xf>
    <xf borderId="2" fillId="3" fontId="3" numFmtId="0" xfId="0" applyAlignment="1" applyBorder="1" applyFill="1" applyFont="1">
      <alignment horizontal="center" vertical="center"/>
    </xf>
    <xf borderId="0" fillId="2" fontId="2" numFmtId="0" xfId="0" applyAlignment="1" applyFill="1" applyFont="1">
      <alignment vertical="center"/>
    </xf>
    <xf borderId="2" fillId="3" fontId="3" numFmtId="0" xfId="0" applyAlignment="1" applyBorder="1" applyFill="1" applyFont="1">
      <alignment vertical="center"/>
    </xf>
    <xf borderId="3" fillId="3" fontId="3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readingOrder="0" vertical="center"/>
    </xf>
    <xf borderId="0" fillId="0" fontId="5" numFmtId="0" xfId="0" applyAlignment="1" applyFont="1">
      <alignment horizontal="right" textRotation="90" vertical="center"/>
    </xf>
    <xf borderId="6" fillId="4" fontId="6" numFmtId="0" xfId="0" applyAlignment="1" applyBorder="1" applyFill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textRotation="90" vertical="center"/>
    </xf>
    <xf borderId="8" fillId="4" fontId="6" numFmtId="0" xfId="0" applyAlignment="1" applyBorder="1" applyFill="1" applyFont="1">
      <alignment horizontal="center" vertical="center"/>
    </xf>
    <xf borderId="9" fillId="4" fontId="6" numFmtId="0" xfId="0" applyAlignment="1" applyBorder="1" applyFill="1" applyFont="1">
      <alignment horizontal="center" vertical="center"/>
    </xf>
    <xf borderId="0" fillId="5" fontId="2" numFmtId="0" xfId="0" applyAlignment="1" applyFill="1" applyFont="1">
      <alignment vertical="center"/>
    </xf>
    <xf borderId="1" fillId="5" fontId="2" numFmtId="0" xfId="0" applyAlignment="1" applyBorder="1" applyFill="1" applyFont="1">
      <alignment vertical="center"/>
    </xf>
    <xf borderId="1" fillId="6" fontId="6" numFmtId="0" xfId="0" applyAlignment="1" applyBorder="1" applyFill="1" applyFont="1">
      <alignment horizontal="right" vertical="center"/>
    </xf>
    <xf borderId="1" fillId="7" fontId="6" numFmtId="0" xfId="0" applyAlignment="1" applyBorder="1" applyFill="1" applyFont="1">
      <alignment horizontal="right" vertical="center"/>
    </xf>
    <xf borderId="1" fillId="8" fontId="6" numFmtId="0" xfId="0" applyAlignment="1" applyBorder="1" applyFill="1" applyFont="1">
      <alignment horizontal="right" vertical="center"/>
    </xf>
    <xf borderId="1" fillId="9" fontId="2" numFmtId="0" xfId="0" applyAlignment="1" applyBorder="1" applyFill="1" applyFont="1">
      <alignment vertical="center"/>
    </xf>
    <xf borderId="1" fillId="5" fontId="6" numFmtId="0" xfId="0" applyAlignment="1" applyBorder="1" applyFill="1" applyFont="1">
      <alignment horizontal="right" vertical="center"/>
    </xf>
    <xf borderId="1" fillId="10" fontId="8" numFmtId="0" xfId="0" applyAlignment="1" applyBorder="1" applyFill="1" applyFont="1">
      <alignment horizontal="right" vertical="center"/>
    </xf>
    <xf borderId="1" fillId="11" fontId="8" numFmtId="0" xfId="0" applyAlignment="1" applyBorder="1" applyFill="1" applyFont="1">
      <alignment horizontal="right" vertical="center"/>
    </xf>
    <xf borderId="1" fillId="12" fontId="8" numFmtId="0" xfId="0" applyAlignment="1" applyBorder="1" applyFill="1" applyFont="1">
      <alignment horizontal="right" vertical="center"/>
    </xf>
    <xf borderId="1" fillId="13" fontId="6" numFmtId="0" xfId="0" applyAlignment="1" applyBorder="1" applyFill="1" applyFont="1">
      <alignment horizontal="right" vertical="center"/>
    </xf>
    <xf borderId="1" fillId="9" fontId="9" numFmtId="0" xfId="0" applyAlignment="1" applyBorder="1" applyFill="1" applyFont="1">
      <alignment horizontal="right" vertical="center"/>
    </xf>
    <xf borderId="1" fillId="14" fontId="9" numFmtId="0" xfId="0" applyAlignment="1" applyBorder="1" applyFill="1" applyFont="1">
      <alignment horizontal="right" vertical="center"/>
    </xf>
    <xf borderId="1" fillId="8" fontId="9" numFmtId="0" xfId="0" applyAlignment="1" applyBorder="1" applyFill="1" applyFont="1">
      <alignment horizontal="right" vertical="center"/>
    </xf>
    <xf borderId="1" fillId="9" fontId="6" numFmtId="0" xfId="0" applyAlignment="1" applyBorder="1" applyFill="1" applyFont="1">
      <alignment horizontal="right" vertical="center"/>
    </xf>
    <xf borderId="1" fillId="15" fontId="6" numFmtId="0" xfId="0" applyAlignment="1" applyBorder="1" applyFill="1" applyFont="1">
      <alignment horizontal="right" vertical="center"/>
    </xf>
    <xf borderId="1" fillId="14" fontId="6" numFmtId="0" xfId="0" applyAlignment="1" applyBorder="1" applyFill="1" applyFont="1">
      <alignment horizontal="right" vertical="center"/>
    </xf>
    <xf borderId="1" fillId="7" fontId="6" numFmtId="0" xfId="0" applyAlignment="1" applyBorder="1" applyFill="1" applyFont="1">
      <alignment horizontal="right" readingOrder="0" vertical="center"/>
    </xf>
    <xf borderId="1" fillId="16" fontId="6" numFmtId="0" xfId="0" applyAlignment="1" applyBorder="1" applyFill="1" applyFont="1">
      <alignment horizontal="right" vertical="center"/>
    </xf>
    <xf borderId="1" fillId="0" fontId="6" numFmtId="0" xfId="0" applyAlignment="1" applyBorder="1" applyFont="1">
      <alignment horizontal="right" vertical="center"/>
    </xf>
    <xf borderId="1" fillId="6" fontId="9" numFmtId="0" xfId="0" applyAlignment="1" applyBorder="1" applyFill="1" applyFont="1">
      <alignment horizontal="right" vertical="center"/>
    </xf>
    <xf borderId="1" fillId="5" fontId="9" numFmtId="0" xfId="0" applyAlignment="1" applyBorder="1" applyFill="1" applyFont="1">
      <alignment horizontal="right" vertical="center"/>
    </xf>
    <xf borderId="1" fillId="17" fontId="6" numFmtId="0" xfId="0" applyAlignment="1" applyBorder="1" applyFill="1" applyFont="1">
      <alignment horizontal="right" vertical="center"/>
    </xf>
    <xf borderId="1" fillId="7" fontId="9" numFmtId="0" xfId="0" applyAlignment="1" applyBorder="1" applyFill="1" applyFont="1">
      <alignment horizontal="right" vertical="center"/>
    </xf>
    <xf borderId="1" fillId="18" fontId="6" numFmtId="0" xfId="0" applyAlignment="1" applyBorder="1" applyFill="1" applyFont="1">
      <alignment horizontal="right" vertical="center"/>
    </xf>
    <xf borderId="1" fillId="8" fontId="6" numFmtId="0" xfId="0" applyAlignment="1" applyBorder="1" applyFill="1" applyFont="1">
      <alignment horizontal="right" readingOrder="0" vertical="center"/>
    </xf>
    <xf borderId="1" fillId="19" fontId="6" numFmtId="0" xfId="0" applyAlignment="1" applyBorder="1" applyFill="1" applyFont="1">
      <alignment horizontal="right" vertical="center"/>
    </xf>
    <xf borderId="1" fillId="20" fontId="6" numFmtId="0" xfId="0" applyAlignment="1" applyBorder="1" applyFill="1" applyFont="1">
      <alignment horizontal="right" vertical="center"/>
    </xf>
    <xf borderId="1" fillId="21" fontId="6" numFmtId="0" xfId="0" applyAlignment="1" applyBorder="1" applyFill="1" applyFont="1">
      <alignment horizontal="right" vertical="center"/>
    </xf>
    <xf borderId="1" fillId="22" fontId="8" numFmtId="0" xfId="0" applyAlignment="1" applyBorder="1" applyFill="1" applyFont="1">
      <alignment horizontal="right" vertical="center"/>
    </xf>
    <xf borderId="1" fillId="23" fontId="8" numFmtId="0" xfId="0" applyAlignment="1" applyBorder="1" applyFill="1" applyFont="1">
      <alignment horizontal="right" vertical="center"/>
    </xf>
    <xf borderId="1" fillId="13" fontId="8" numFmtId="0" xfId="0" applyAlignment="1" applyBorder="1" applyFill="1" applyFont="1">
      <alignment horizontal="right" vertical="center"/>
    </xf>
    <xf borderId="1" fillId="0" fontId="9" numFmtId="0" xfId="0" applyAlignment="1" applyBorder="1" applyFont="1">
      <alignment horizontal="right" vertical="center"/>
    </xf>
    <xf borderId="10" fillId="3" fontId="10" numFmtId="0" xfId="0" applyAlignment="1" applyBorder="1" applyFill="1" applyFont="1">
      <alignment vertical="center"/>
    </xf>
    <xf borderId="11" fillId="3" fontId="10" numFmtId="0" xfId="0" applyAlignment="1" applyBorder="1" applyFill="1" applyFont="1">
      <alignment vertical="center"/>
    </xf>
    <xf borderId="1" fillId="24" fontId="6" numFmtId="0" xfId="0" applyAlignment="1" applyBorder="1" applyFill="1" applyFont="1">
      <alignment horizontal="right" vertical="center"/>
    </xf>
    <xf borderId="12" fillId="25" fontId="1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vertical="center"/>
    </xf>
    <xf borderId="0" fillId="4" fontId="2" numFmtId="0" xfId="0" applyAlignment="1" applyFill="1" applyFont="1">
      <alignment vertical="center"/>
    </xf>
    <xf borderId="10" fillId="3" fontId="10" numFmtId="0" xfId="0" applyAlignment="1" applyBorder="1" applyFill="1" applyFont="1">
      <alignment readingOrder="0" vertical="center"/>
    </xf>
    <xf borderId="12" fillId="25" fontId="1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1" fillId="17" fontId="9" numFmtId="0" xfId="0" applyAlignment="1" applyBorder="1" applyFill="1" applyFont="1">
      <alignment horizontal="right" vertical="center"/>
    </xf>
    <xf borderId="1" fillId="25" fontId="6" numFmtId="0" xfId="0" applyAlignment="1" applyBorder="1" applyFill="1" applyFont="1">
      <alignment horizontal="right" vertical="center"/>
    </xf>
    <xf borderId="1" fillId="26" fontId="6" numFmtId="0" xfId="0" applyAlignment="1" applyBorder="1" applyFill="1" applyFont="1">
      <alignment horizontal="right" vertical="center"/>
    </xf>
    <xf borderId="1" fillId="9" fontId="6" numFmtId="0" xfId="0" applyAlignment="1" applyBorder="1" applyFill="1" applyFont="1">
      <alignment horizontal="right" readingOrder="0" vertical="center"/>
    </xf>
    <xf borderId="1" fillId="27" fontId="6" numFmtId="0" xfId="0" applyAlignment="1" applyBorder="1" applyFill="1" applyFont="1">
      <alignment horizontal="right"/>
    </xf>
    <xf borderId="1" fillId="22" fontId="6" numFmtId="0" xfId="0" applyAlignment="1" applyBorder="1" applyFill="1" applyFont="1">
      <alignment horizontal="right" vertical="center"/>
    </xf>
    <xf borderId="0" fillId="0" fontId="12" numFmtId="0" xfId="0" applyAlignment="1" applyFont="1">
      <alignment vertical="center"/>
    </xf>
    <xf borderId="10" fillId="3" fontId="2" numFmtId="0" xfId="0" applyAlignment="1" applyBorder="1" applyFill="1" applyFont="1">
      <alignment vertical="center"/>
    </xf>
    <xf borderId="11" fillId="3" fontId="2" numFmtId="0" xfId="0" applyAlignment="1" applyBorder="1" applyFill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Font="1"/>
    <xf borderId="13" fillId="0" fontId="13" numFmtId="0" xfId="0" applyAlignment="1" applyBorder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13" fillId="3" fontId="11" numFmtId="0" xfId="0" applyAlignment="1" applyBorder="1" applyFill="1" applyFont="1">
      <alignment horizontal="center"/>
    </xf>
    <xf borderId="14" fillId="0" fontId="14" numFmtId="0" xfId="0" applyAlignment="1" applyBorder="1" applyFont="1">
      <alignment horizontal="center"/>
    </xf>
    <xf borderId="2" fillId="2" fontId="2" numFmtId="0" xfId="0" applyBorder="1" applyFill="1" applyFont="1"/>
    <xf borderId="16" fillId="0" fontId="4" numFmtId="0" xfId="0" applyBorder="1" applyFont="1"/>
    <xf borderId="17" fillId="3" fontId="11" numFmtId="0" xfId="0" applyAlignment="1" applyBorder="1" applyFill="1" applyFont="1">
      <alignment horizontal="center"/>
    </xf>
    <xf borderId="0" fillId="5" fontId="2" numFmtId="0" xfId="0" applyFill="1" applyFont="1"/>
    <xf borderId="0" fillId="2" fontId="2" numFmtId="0" xfId="0" applyFill="1" applyFont="1"/>
    <xf borderId="18" fillId="5" fontId="10" numFmtId="0" xfId="0" applyAlignment="1" applyBorder="1" applyFill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1" fillId="5" fontId="10" numFmtId="0" xfId="0" applyAlignment="1" applyBorder="1" applyFill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0" fillId="9" fontId="2" numFmtId="0" xfId="0" applyAlignment="1" applyFill="1" applyFont="1">
      <alignment vertical="center"/>
    </xf>
    <xf borderId="26" fillId="0" fontId="4" numFmtId="0" xfId="0" applyBorder="1" applyFont="1"/>
    <xf borderId="2" fillId="2" fontId="1" numFmtId="0" xfId="0" applyAlignment="1" applyBorder="1" applyFill="1" applyFont="1">
      <alignment shrinkToFit="0" vertical="bottom" wrapText="0"/>
    </xf>
    <xf borderId="0" fillId="0" fontId="15" numFmtId="0" xfId="0" applyAlignment="1" applyFont="1">
      <alignment horizontal="center"/>
    </xf>
    <xf borderId="0" fillId="9" fontId="12" numFmtId="0" xfId="0" applyAlignment="1" applyFill="1" applyFont="1">
      <alignment vertical="center"/>
    </xf>
    <xf borderId="1" fillId="25" fontId="16" numFmtId="0" xfId="0" applyAlignment="1" applyBorder="1" applyFill="1" applyFont="1">
      <alignment horizontal="center"/>
    </xf>
    <xf borderId="13" fillId="3" fontId="1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top"/>
    </xf>
    <xf borderId="27" fillId="3" fontId="11" numFmtId="0" xfId="0" applyAlignment="1" applyBorder="1" applyFill="1" applyFont="1">
      <alignment horizontal="center"/>
    </xf>
    <xf borderId="28" fillId="0" fontId="4" numFmtId="0" xfId="0" applyBorder="1" applyFont="1"/>
    <xf borderId="14" fillId="0" fontId="14" numFmtId="0" xfId="0" applyAlignment="1" applyBorder="1" applyFont="1">
      <alignment horizontal="center" vertical="center"/>
    </xf>
    <xf borderId="27" fillId="3" fontId="14" numFmtId="0" xfId="0" applyAlignment="1" applyBorder="1" applyFill="1" applyFont="1">
      <alignment horizontal="center"/>
    </xf>
    <xf borderId="29" fillId="26" fontId="16" numFmtId="0" xfId="0" applyAlignment="1" applyBorder="1" applyFill="1" applyFont="1">
      <alignment horizontal="center"/>
    </xf>
    <xf borderId="27" fillId="26" fontId="11" numFmtId="0" xfId="0" applyAlignment="1" applyBorder="1" applyFill="1" applyFont="1">
      <alignment horizontal="center"/>
    </xf>
    <xf borderId="30" fillId="2" fontId="2" numFmtId="0" xfId="0" applyAlignment="1" applyBorder="1" applyFill="1" applyFont="1">
      <alignment vertical="bottom"/>
    </xf>
    <xf borderId="30" fillId="2" fontId="2" numFmtId="0" xfId="0" applyBorder="1" applyFill="1" applyFont="1"/>
    <xf borderId="0" fillId="0" fontId="17" numFmtId="0" xfId="0" applyAlignment="1" applyFont="1">
      <alignment horizontal="center"/>
    </xf>
    <xf borderId="31" fillId="2" fontId="2" numFmtId="0" xfId="0" applyBorder="1" applyFill="1" applyFont="1"/>
    <xf borderId="0" fillId="0" fontId="2" numFmtId="49" xfId="0" applyAlignment="1" applyFont="1" applyNumberFormat="1">
      <alignment vertical="bottom"/>
    </xf>
    <xf borderId="18" fillId="5" fontId="10" numFmtId="0" xfId="0" applyAlignment="1" applyBorder="1" applyFill="1" applyFont="1">
      <alignment horizontal="center" readingOrder="0"/>
    </xf>
    <xf borderId="21" fillId="5" fontId="10" numFmtId="0" xfId="0" applyAlignment="1" applyBorder="1" applyFill="1" applyFont="1">
      <alignment horizontal="center" readingOrder="0"/>
    </xf>
    <xf borderId="29" fillId="5" fontId="10" numFmtId="49" xfId="0" applyAlignment="1" applyBorder="1" applyFill="1" applyFont="1" applyNumberFormat="1">
      <alignment horizontal="center"/>
    </xf>
    <xf borderId="32" fillId="0" fontId="4" numFmtId="0" xfId="0" applyBorder="1" applyFont="1"/>
    <xf borderId="33" fillId="15" fontId="2" numFmtId="49" xfId="0" applyBorder="1" applyFill="1" applyFont="1" applyNumberFormat="1"/>
    <xf borderId="0" fillId="5" fontId="2" numFmtId="49" xfId="0" applyFill="1" applyFont="1" applyNumberFormat="1"/>
    <xf borderId="29" fillId="5" fontId="10" numFmtId="49" xfId="0" applyAlignment="1" applyBorder="1" applyFill="1" applyFont="1" applyNumberFormat="1">
      <alignment horizontal="center" shrinkToFit="0" wrapText="1"/>
    </xf>
    <xf borderId="33" fillId="22" fontId="2" numFmtId="49" xfId="0" applyBorder="1" applyFill="1" applyFont="1" applyNumberFormat="1"/>
    <xf borderId="0" fillId="0" fontId="2" numFmtId="49" xfId="0" applyFont="1" applyNumberFormat="1"/>
    <xf borderId="33" fillId="8" fontId="2" numFmtId="49" xfId="0" applyBorder="1" applyFill="1" applyFont="1" applyNumberFormat="1"/>
    <xf borderId="0" fillId="5" fontId="10" numFmtId="0" xfId="0" applyAlignment="1" applyFill="1" applyFont="1">
      <alignment horizontal="center"/>
    </xf>
    <xf borderId="33" fillId="0" fontId="2" numFmtId="49" xfId="0" applyBorder="1" applyFont="1" applyNumberFormat="1"/>
    <xf borderId="33" fillId="7" fontId="2" numFmtId="49" xfId="0" applyBorder="1" applyFill="1" applyFont="1" applyNumberFormat="1"/>
    <xf borderId="0" fillId="0" fontId="18" numFmtId="0" xfId="0" applyAlignment="1" applyFont="1">
      <alignment horizontal="center" vertical="center"/>
    </xf>
    <xf borderId="33" fillId="6" fontId="2" numFmtId="49" xfId="0" applyAlignment="1" applyBorder="1" applyFill="1" applyFont="1" applyNumberFormat="1">
      <alignment vertical="bottom"/>
    </xf>
    <xf borderId="0" fillId="0" fontId="19" numFmtId="0" xfId="0" applyFont="1"/>
    <xf borderId="0" fillId="0" fontId="12" numFmtId="0" xfId="0" applyFont="1"/>
    <xf borderId="0" fillId="0" fontId="19" numFmtId="0" xfId="0" applyAlignment="1" applyFont="1">
      <alignment vertical="bottom"/>
    </xf>
    <xf borderId="1" fillId="25" fontId="16" numFmtId="0" xfId="0" applyAlignment="1" applyBorder="1" applyFill="1" applyFont="1">
      <alignment horizontal="center" vertical="center"/>
    </xf>
    <xf borderId="33" fillId="17" fontId="2" numFmtId="49" xfId="0" applyBorder="1" applyFill="1" applyFont="1" applyNumberFormat="1"/>
    <xf borderId="33" fillId="10" fontId="2" numFmtId="49" xfId="0" applyBorder="1" applyFill="1" applyFont="1" applyNumberFormat="1"/>
    <xf borderId="33" fillId="26" fontId="2" numFmtId="49" xfId="0" applyBorder="1" applyFill="1" applyFont="1" applyNumberFormat="1"/>
    <xf borderId="33" fillId="14" fontId="2" numFmtId="49" xfId="0" applyBorder="1" applyFill="1" applyFont="1" applyNumberFormat="1"/>
    <xf borderId="33" fillId="12" fontId="2" numFmtId="49" xfId="0" applyAlignment="1" applyBorder="1" applyFill="1" applyFont="1" applyNumberFormat="1">
      <alignment vertical="bottom"/>
    </xf>
    <xf borderId="34" fillId="0" fontId="2" numFmtId="0" xfId="0" applyBorder="1" applyFont="1"/>
    <xf borderId="34" fillId="0" fontId="4" numFmtId="0" xfId="0" applyBorder="1" applyFont="1"/>
    <xf borderId="35" fillId="0" fontId="4" numFmtId="0" xfId="0" applyBorder="1" applyFont="1"/>
    <xf borderId="29" fillId="0" fontId="3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vertical="center"/>
    </xf>
    <xf borderId="36" fillId="2" fontId="2" numFmtId="0" xfId="0" applyAlignment="1" applyBorder="1" applyFill="1" applyFont="1">
      <alignment vertical="bottom"/>
    </xf>
    <xf borderId="29" fillId="28" fontId="11" numFmtId="0" xfId="0" applyAlignment="1" applyBorder="1" applyFill="1" applyFont="1">
      <alignment horizontal="center"/>
    </xf>
    <xf borderId="0" fillId="5" fontId="2" numFmtId="0" xfId="0" applyAlignment="1" applyFill="1" applyFont="1">
      <alignment vertical="bottom"/>
    </xf>
    <xf borderId="37" fillId="3" fontId="11" numFmtId="0" xfId="0" applyAlignment="1" applyBorder="1" applyFill="1" applyFont="1">
      <alignment horizontal="center" readingOrder="0" vertical="center"/>
    </xf>
    <xf borderId="29" fillId="28" fontId="11" numFmtId="0" xfId="0" applyAlignment="1" applyBorder="1" applyFill="1" applyFont="1">
      <alignment horizontal="center" shrinkToFit="0" wrapText="1"/>
    </xf>
    <xf borderId="37" fillId="3" fontId="14" numFmtId="0" xfId="0" applyAlignment="1" applyBorder="1" applyFill="1" applyFont="1">
      <alignment horizontal="center" vertical="center"/>
    </xf>
    <xf borderId="28" fillId="26" fontId="16" numFmtId="0" xfId="0" applyAlignment="1" applyBorder="1" applyFill="1" applyFont="1">
      <alignment horizontal="center" vertical="center"/>
    </xf>
    <xf borderId="27" fillId="26" fontId="11" numFmtId="164" xfId="0" applyAlignment="1" applyBorder="1" applyFill="1" applyFont="1" applyNumberFormat="1">
      <alignment horizontal="center" readingOrder="0" vertical="center"/>
    </xf>
    <xf borderId="29" fillId="5" fontId="10" numFmtId="49" xfId="0" applyAlignment="1" applyBorder="1" applyFill="1" applyFont="1" applyNumberFormat="1">
      <alignment horizontal="center" vertical="center"/>
    </xf>
    <xf borderId="33" fillId="15" fontId="2" numFmtId="49" xfId="0" applyAlignment="1" applyBorder="1" applyFill="1" applyFont="1" applyNumberFormat="1">
      <alignment vertical="center"/>
    </xf>
    <xf borderId="0" fillId="5" fontId="2" numFmtId="49" xfId="0" applyAlignment="1" applyFill="1" applyFont="1" applyNumberFormat="1">
      <alignment vertical="center"/>
    </xf>
    <xf borderId="29" fillId="5" fontId="10" numFmtId="49" xfId="0" applyAlignment="1" applyBorder="1" applyFill="1" applyFont="1" applyNumberFormat="1">
      <alignment horizontal="center" shrinkToFit="0" vertical="center" wrapText="1"/>
    </xf>
    <xf borderId="33" fillId="22" fontId="2" numFmtId="49" xfId="0" applyAlignment="1" applyBorder="1" applyFill="1" applyFont="1" applyNumberFormat="1">
      <alignment vertical="center"/>
    </xf>
    <xf borderId="0" fillId="0" fontId="2" numFmtId="49" xfId="0" applyAlignment="1" applyFont="1" applyNumberFormat="1">
      <alignment vertical="center"/>
    </xf>
    <xf borderId="33" fillId="8" fontId="2" numFmtId="49" xfId="0" applyAlignment="1" applyBorder="1" applyFill="1" applyFont="1" applyNumberFormat="1">
      <alignment vertical="center"/>
    </xf>
    <xf borderId="33" fillId="0" fontId="2" numFmtId="49" xfId="0" applyAlignment="1" applyBorder="1" applyFont="1" applyNumberFormat="1">
      <alignment vertical="center"/>
    </xf>
    <xf borderId="29" fillId="29" fontId="20" numFmtId="0" xfId="0" applyAlignment="1" applyBorder="1" applyFill="1" applyFont="1">
      <alignment horizontal="center"/>
    </xf>
    <xf borderId="33" fillId="7" fontId="2" numFmtId="49" xfId="0" applyAlignment="1" applyBorder="1" applyFill="1" applyFont="1" applyNumberFormat="1">
      <alignment vertical="center"/>
    </xf>
    <xf borderId="2" fillId="2" fontId="2" numFmtId="0" xfId="0" applyAlignment="1" applyBorder="1" applyFill="1" applyFont="1">
      <alignment vertical="bottom"/>
    </xf>
    <xf borderId="38" fillId="29" fontId="20" numFmtId="0" xfId="0" applyAlignment="1" applyBorder="1" applyFill="1" applyFont="1">
      <alignment horizontal="center" shrinkToFit="0" wrapText="1"/>
    </xf>
    <xf borderId="39" fillId="0" fontId="4" numFmtId="0" xfId="0" applyBorder="1" applyFont="1"/>
    <xf borderId="29" fillId="3" fontId="11" numFmtId="0" xfId="0" applyAlignment="1" applyBorder="1" applyFill="1" applyFont="1">
      <alignment horizontal="center" readingOrder="0" vertical="center"/>
    </xf>
    <xf borderId="40" fillId="0" fontId="4" numFmtId="0" xfId="0" applyBorder="1" applyFont="1"/>
    <xf borderId="36" fillId="2" fontId="1" numFmtId="0" xfId="0" applyAlignment="1" applyBorder="1" applyFill="1" applyFont="1">
      <alignment shrinkToFit="0" vertical="bottom" wrapText="0"/>
    </xf>
    <xf borderId="33" fillId="17" fontId="2" numFmtId="49" xfId="0" applyAlignment="1" applyBorder="1" applyFill="1" applyFont="1" applyNumberFormat="1">
      <alignment vertical="center"/>
    </xf>
    <xf borderId="0" fillId="0" fontId="1" numFmtId="0" xfId="0" applyAlignment="1" applyFont="1">
      <alignment shrinkToFit="0" vertical="bottom" wrapText="0"/>
    </xf>
    <xf borderId="33" fillId="10" fontId="2" numFmtId="49" xfId="0" applyAlignment="1" applyBorder="1" applyFill="1" applyFont="1" applyNumberFormat="1">
      <alignment vertical="center"/>
    </xf>
    <xf borderId="33" fillId="26" fontId="2" numFmtId="49" xfId="0" applyAlignment="1" applyBorder="1" applyFill="1" applyFont="1" applyNumberFormat="1">
      <alignment vertical="center"/>
    </xf>
    <xf borderId="41" fillId="0" fontId="4" numFmtId="0" xfId="0" applyBorder="1" applyFont="1"/>
    <xf borderId="33" fillId="14" fontId="2" numFmtId="49" xfId="0" applyAlignment="1" applyBorder="1" applyFill="1" applyFont="1" applyNumberFormat="1">
      <alignment vertical="center"/>
    </xf>
    <xf borderId="29" fillId="0" fontId="2" numFmtId="0" xfId="0" applyBorder="1" applyFont="1"/>
    <xf borderId="33" fillId="12" fontId="2" numFmtId="49" xfId="0" applyAlignment="1" applyBorder="1" applyFill="1" applyFont="1" applyNumberFormat="1">
      <alignment vertical="center"/>
    </xf>
    <xf borderId="34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bottom"/>
    </xf>
    <xf borderId="29" fillId="0" fontId="10" numFmtId="0" xfId="0" applyAlignment="1" applyBorder="1" applyFont="1">
      <alignment readingOrder="0" vertical="center"/>
    </xf>
    <xf borderId="36" fillId="16" fontId="9" numFmtId="0" xfId="0" applyAlignment="1" applyBorder="1" applyFill="1" applyFont="1">
      <alignment horizontal="right" vertical="center"/>
    </xf>
    <xf borderId="4" fillId="2" fontId="2" numFmtId="0" xfId="0" applyAlignment="1" applyBorder="1" applyFill="1" applyFont="1">
      <alignment vertical="bottom"/>
    </xf>
    <xf borderId="41" fillId="0" fontId="21" numFmtId="0" xfId="0" applyAlignment="1" applyBorder="1" applyFont="1">
      <alignment horizontal="center" vertical="center"/>
    </xf>
    <xf borderId="42" fillId="30" fontId="10" numFmtId="49" xfId="0" applyAlignment="1" applyBorder="1" applyFill="1" applyFont="1" applyNumberFormat="1">
      <alignment shrinkToFit="0" vertical="bottom" wrapText="1"/>
    </xf>
    <xf borderId="43" fillId="0" fontId="4" numFmtId="0" xfId="0" applyBorder="1" applyFont="1"/>
    <xf borderId="44" fillId="25" fontId="16" numFmtId="0" xfId="0" applyAlignment="1" applyBorder="1" applyFill="1" applyFont="1">
      <alignment horizontal="center" vertical="center"/>
    </xf>
    <xf borderId="45" fillId="0" fontId="4" numFmtId="0" xfId="0" applyBorder="1" applyFont="1"/>
    <xf borderId="35" fillId="0" fontId="2" numFmtId="0" xfId="0" applyAlignment="1" applyBorder="1" applyFont="1">
      <alignment vertical="bottom"/>
    </xf>
    <xf borderId="42" fillId="5" fontId="10" numFmtId="49" xfId="0" applyAlignment="1" applyBorder="1" applyFill="1" applyFont="1" applyNumberFormat="1">
      <alignment shrinkToFit="0" vertical="bottom" wrapText="1"/>
    </xf>
    <xf borderId="0" fillId="0" fontId="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2" numFmtId="0" xfId="0" applyAlignment="1" applyFont="1">
      <alignment vertical="bottom"/>
    </xf>
    <xf borderId="0" fillId="5" fontId="22" numFmtId="0" xfId="0" applyAlignment="1" applyFill="1" applyFont="1">
      <alignment vertical="bottom"/>
    </xf>
    <xf borderId="29" fillId="5" fontId="10" numFmtId="49" xfId="0" applyAlignment="1" applyBorder="1" applyFill="1" applyFont="1" applyNumberFormat="1">
      <alignment shrinkToFit="0" vertical="bottom" wrapText="1"/>
    </xf>
    <xf borderId="29" fillId="28" fontId="11" numFmtId="0" xfId="0" applyAlignment="1" applyBorder="1" applyFill="1" applyFont="1">
      <alignment horizontal="center" readingOrder="0"/>
    </xf>
    <xf borderId="29" fillId="30" fontId="10" numFmtId="49" xfId="0" applyAlignment="1" applyBorder="1" applyFill="1" applyFont="1" applyNumberFormat="1">
      <alignment shrinkToFit="0" vertical="bottom" wrapText="1"/>
    </xf>
    <xf borderId="29" fillId="5" fontId="20" numFmtId="0" xfId="0" applyAlignment="1" applyBorder="1" applyFill="1" applyFont="1">
      <alignment horizontal="center"/>
    </xf>
    <xf borderId="29" fillId="29" fontId="20" numFmtId="49" xfId="0" applyAlignment="1" applyBorder="1" applyFill="1" applyFont="1" applyNumberFormat="1">
      <alignment horizontal="center" vertical="bottom"/>
    </xf>
    <xf borderId="38" fillId="29" fontId="20" numFmtId="49" xfId="0" applyAlignment="1" applyBorder="1" applyFill="1" applyFont="1" applyNumberFormat="1">
      <alignment horizontal="center" shrinkToFit="0" vertical="bottom" wrapText="1"/>
    </xf>
    <xf borderId="40" fillId="29" fontId="20" numFmtId="0" xfId="0" applyAlignment="1" applyBorder="1" applyFill="1" applyFont="1">
      <alignment horizontal="center" shrinkToFit="0" vertical="center" wrapText="1"/>
    </xf>
    <xf borderId="29" fillId="30" fontId="10" numFmtId="0" xfId="0" applyAlignment="1" applyBorder="1" applyFill="1" applyFont="1">
      <alignment shrinkToFit="0" vertical="bottom" wrapText="1"/>
    </xf>
    <xf borderId="35" fillId="29" fontId="20" numFmtId="0" xfId="0" applyAlignment="1" applyBorder="1" applyFill="1" applyFont="1">
      <alignment horizontal="center" shrinkToFit="0" vertical="center" wrapText="1"/>
    </xf>
    <xf borderId="29" fillId="5" fontId="10" numFmtId="0" xfId="0" applyAlignment="1" applyBorder="1" applyFill="1" applyFont="1">
      <alignment shrinkToFit="0" vertical="bottom" wrapText="1"/>
    </xf>
    <xf borderId="28" fillId="9" fontId="10" numFmtId="49" xfId="0" applyAlignment="1" applyBorder="1" applyFill="1" applyFont="1" applyNumberFormat="1">
      <alignment horizontal="center" readingOrder="0" vertical="bottom"/>
    </xf>
    <xf borderId="28" fillId="9" fontId="10" numFmtId="0" xfId="0" applyAlignment="1" applyBorder="1" applyFill="1" applyFont="1">
      <alignment readingOrder="0" vertical="bottom"/>
    </xf>
    <xf borderId="28" fillId="9" fontId="10" numFmtId="49" xfId="0" applyAlignment="1" applyBorder="1" applyFill="1" applyFont="1" applyNumberFormat="1">
      <alignment readingOrder="0" vertical="bottom"/>
    </xf>
    <xf borderId="45" fillId="5" fontId="10" numFmtId="49" xfId="0" applyAlignment="1" applyBorder="1" applyFill="1" applyFont="1" applyNumberFormat="1">
      <alignment shrinkToFit="0" vertical="center" wrapText="1"/>
    </xf>
    <xf borderId="32" fillId="9" fontId="10" numFmtId="49" xfId="0" applyAlignment="1" applyBorder="1" applyFill="1" applyFont="1" applyNumberFormat="1">
      <alignment horizontal="center" readingOrder="0" vertical="bottom"/>
    </xf>
    <xf borderId="28" fillId="9" fontId="10" numFmtId="49" xfId="0" applyAlignment="1" applyBorder="1" applyFill="1" applyFont="1" applyNumberFormat="1">
      <alignment vertical="bottom"/>
    </xf>
    <xf borderId="46" fillId="5" fontId="10" numFmtId="49" xfId="0" applyAlignment="1" applyBorder="1" applyFill="1" applyFont="1" applyNumberFormat="1">
      <alignment shrinkToFit="0" vertical="center" wrapText="1"/>
    </xf>
    <xf borderId="28" fillId="9" fontId="10" numFmtId="165" xfId="0" applyAlignment="1" applyBorder="1" applyFill="1" applyFont="1" applyNumberFormat="1">
      <alignment vertical="bottom"/>
    </xf>
    <xf borderId="32" fillId="5" fontId="10" numFmtId="49" xfId="0" applyAlignment="1" applyBorder="1" applyFill="1" applyFont="1" applyNumberFormat="1">
      <alignment shrinkToFit="0" vertical="center" wrapText="1"/>
    </xf>
    <xf borderId="35" fillId="5" fontId="10" numFmtId="49" xfId="0" applyAlignment="1" applyBorder="1" applyFill="1" applyFont="1" applyNumberFormat="1">
      <alignment shrinkToFit="0" vertical="center" wrapText="1"/>
    </xf>
    <xf borderId="28" fillId="9" fontId="10" numFmtId="164" xfId="0" applyAlignment="1" applyBorder="1" applyFill="1" applyFont="1" applyNumberFormat="1">
      <alignment vertical="bottom"/>
    </xf>
    <xf borderId="28" fillId="9" fontId="10" numFmtId="164" xfId="0" applyAlignment="1" applyBorder="1" applyFill="1" applyFont="1" applyNumberFormat="1">
      <alignment horizontal="center" readingOrder="0" vertical="bottom"/>
    </xf>
    <xf borderId="28" fillId="9" fontId="10" numFmtId="0" xfId="0" applyAlignment="1" applyBorder="1" applyFill="1" applyFont="1">
      <alignment vertical="bottom"/>
    </xf>
    <xf borderId="28" fillId="9" fontId="10" numFmtId="0" xfId="0" applyAlignment="1" applyBorder="1" applyFill="1" applyFont="1">
      <alignment horizontal="center" readingOrder="0" vertical="bottom"/>
    </xf>
    <xf borderId="41" fillId="5" fontId="10" numFmtId="49" xfId="0" applyAlignment="1" applyBorder="1" applyFill="1" applyFont="1" applyNumberFormat="1">
      <alignment shrinkToFit="0" vertical="bottom" wrapText="1"/>
    </xf>
    <xf borderId="0" fillId="2" fontId="25" numFmtId="0" xfId="0" applyFill="1" applyFont="1"/>
    <xf borderId="0" fillId="0" fontId="25" numFmtId="0" xfId="0" applyFont="1"/>
    <xf borderId="41" fillId="30" fontId="10" numFmtId="49" xfId="0" applyAlignment="1" applyBorder="1" applyFill="1" applyFont="1" applyNumberFormat="1">
      <alignment shrinkToFit="0" vertical="bottom" wrapText="1"/>
    </xf>
    <xf borderId="34" fillId="5" fontId="10" numFmtId="49" xfId="0" applyAlignment="1" applyBorder="1" applyFill="1" applyFont="1" applyNumberFormat="1">
      <alignment shrinkToFit="0" vertical="bottom" wrapText="1"/>
    </xf>
    <xf borderId="29" fillId="9" fontId="10" numFmtId="49" xfId="0" applyAlignment="1" applyBorder="1" applyFill="1" applyFont="1" applyNumberFormat="1">
      <alignment horizontal="center" readingOrder="0" vertical="bottom"/>
    </xf>
    <xf borderId="34" fillId="30" fontId="10" numFmtId="49" xfId="0" applyAlignment="1" applyBorder="1" applyFill="1" applyFont="1" applyNumberFormat="1">
      <alignment shrinkToFit="0" vertical="bottom" wrapText="1"/>
    </xf>
    <xf borderId="41" fillId="5" fontId="10" numFmtId="0" xfId="0" applyAlignment="1" applyBorder="1" applyFill="1" applyFont="1">
      <alignment shrinkToFit="0" vertical="bottom" wrapText="1"/>
    </xf>
    <xf borderId="29" fillId="9" fontId="10" numFmtId="0" xfId="0" applyAlignment="1" applyBorder="1" applyFill="1" applyFont="1">
      <alignment readingOrder="0" vertical="bottom"/>
    </xf>
    <xf borderId="35" fillId="5" fontId="2" numFmtId="49" xfId="0" applyBorder="1" applyFill="1" applyFont="1" applyNumberFormat="1"/>
    <xf borderId="0" fillId="0" fontId="2" numFmtId="0" xfId="0" applyAlignment="1" applyFont="1">
      <alignment vertical="bottom"/>
    </xf>
    <xf borderId="41" fillId="30" fontId="10" numFmtId="0" xfId="0" applyAlignment="1" applyBorder="1" applyFill="1" applyFont="1">
      <alignment shrinkToFit="0" vertical="bottom" wrapText="1"/>
    </xf>
    <xf borderId="29" fillId="0" fontId="10" numFmtId="49" xfId="0" applyAlignment="1" applyBorder="1" applyFont="1" applyNumberFormat="1">
      <alignment horizontal="center" vertical="bottom"/>
    </xf>
    <xf borderId="47" fillId="5" fontId="10" numFmtId="0" xfId="0" applyAlignment="1" applyBorder="1" applyFill="1" applyFont="1">
      <alignment shrinkToFit="0" vertical="bottom" wrapText="1"/>
    </xf>
    <xf borderId="48" fillId="0" fontId="4" numFmtId="0" xfId="0" applyBorder="1" applyFont="1"/>
    <xf borderId="49" fillId="0" fontId="4" numFmtId="0" xfId="0" applyBorder="1" applyFont="1"/>
    <xf borderId="50" fillId="9" fontId="10" numFmtId="0" xfId="0" applyAlignment="1" applyBorder="1" applyFill="1" applyFont="1">
      <alignment readingOrder="0" shrinkToFit="0" vertical="bottom" wrapText="1"/>
    </xf>
    <xf borderId="34" fillId="5" fontId="2" numFmtId="49" xfId="0" applyAlignment="1" applyBorder="1" applyFill="1" applyFont="1" applyNumberFormat="1">
      <alignment vertical="bottom"/>
    </xf>
    <xf borderId="35" fillId="5" fontId="2" numFmtId="49" xfId="0" applyAlignment="1" applyBorder="1" applyFill="1" applyFont="1" applyNumberFormat="1">
      <alignment vertical="bottom"/>
    </xf>
    <xf borderId="50" fillId="9" fontId="10" numFmtId="0" xfId="0" applyAlignment="1" applyBorder="1" applyFill="1" applyFont="1">
      <alignment shrinkToFit="0" vertical="bottom" wrapText="1"/>
    </xf>
    <xf borderId="34" fillId="30" fontId="2" numFmtId="49" xfId="0" applyAlignment="1" applyBorder="1" applyFill="1" applyFont="1" applyNumberFormat="1">
      <alignment vertical="bottom"/>
    </xf>
    <xf borderId="35" fillId="30" fontId="2" numFmtId="49" xfId="0" applyAlignment="1" applyBorder="1" applyFill="1" applyFont="1" applyNumberFormat="1">
      <alignment vertical="bottom"/>
    </xf>
    <xf borderId="34" fillId="9" fontId="10" numFmtId="49" xfId="0" applyAlignment="1" applyBorder="1" applyFill="1" applyFont="1" applyNumberFormat="1">
      <alignment horizontal="center" readingOrder="0" vertical="bottom"/>
    </xf>
    <xf borderId="34" fillId="5" fontId="10" numFmtId="0" xfId="0" applyAlignment="1" applyBorder="1" applyFill="1" applyFont="1">
      <alignment shrinkToFit="0" vertical="bottom" wrapText="1"/>
    </xf>
    <xf borderId="34" fillId="5" fontId="2" numFmtId="0" xfId="0" applyAlignment="1" applyBorder="1" applyFill="1" applyFont="1">
      <alignment vertical="bottom"/>
    </xf>
    <xf borderId="35" fillId="5" fontId="2" numFmtId="0" xfId="0" applyAlignment="1" applyBorder="1" applyFill="1" applyFont="1">
      <alignment vertical="bottom"/>
    </xf>
    <xf borderId="28" fillId="30" fontId="10" numFmtId="0" xfId="0" applyAlignment="1" applyBorder="1" applyFill="1" applyFont="1">
      <alignment shrinkToFit="0" vertical="bottom" wrapText="1"/>
    </xf>
    <xf borderId="29" fillId="9" fontId="10" numFmtId="49" xfId="0" applyAlignment="1" applyBorder="1" applyFill="1" applyFont="1" applyNumberFormat="1">
      <alignment readingOrder="0" shrinkToFit="0" vertical="bottom" wrapText="1"/>
    </xf>
    <xf borderId="28" fillId="30" fontId="4" numFmtId="0" xfId="0" applyBorder="1" applyFill="1" applyFont="1"/>
    <xf borderId="39" fillId="0" fontId="2" numFmtId="0" xfId="0" applyBorder="1" applyFont="1"/>
    <xf borderId="38" fillId="0" fontId="2" numFmtId="0" xfId="0" applyBorder="1" applyFont="1"/>
    <xf borderId="0" fillId="5" fontId="10" numFmtId="0" xfId="0" applyAlignment="1" applyFill="1" applyFont="1">
      <alignment shrinkToFit="0" vertical="bottom" wrapText="1"/>
    </xf>
    <xf borderId="29" fillId="9" fontId="10" numFmtId="164" xfId="0" applyAlignment="1" applyBorder="1" applyFill="1" applyFont="1" applyNumberFormat="1">
      <alignment horizontal="center" readingOrder="0" vertical="bottom"/>
    </xf>
    <xf borderId="28" fillId="9" fontId="10" numFmtId="0" xfId="0" applyAlignment="1" applyBorder="1" applyFill="1" applyFont="1">
      <alignment vertical="bottom"/>
    </xf>
    <xf borderId="35" fillId="5" fontId="10" numFmtId="0" xfId="0" applyAlignment="1" applyBorder="1" applyFill="1" applyFont="1">
      <alignment shrinkToFit="0" vertical="center" wrapText="1"/>
    </xf>
    <xf borderId="35" fillId="5" fontId="10" numFmtId="49" xfId="0" applyAlignment="1" applyBorder="1" applyFill="1" applyFont="1" applyNumberFormat="1">
      <alignment shrinkToFit="0" vertical="bottom" wrapText="1"/>
    </xf>
    <xf borderId="29" fillId="0" fontId="10" numFmtId="0" xfId="0" applyAlignment="1" applyBorder="1" applyFont="1">
      <alignment horizontal="center" readingOrder="0"/>
    </xf>
    <xf borderId="29" fillId="0" fontId="10" numFmtId="0" xfId="0" applyAlignment="1" applyBorder="1" applyFont="1">
      <alignment readingOrder="0"/>
    </xf>
    <xf borderId="29" fillId="9" fontId="10" numFmtId="164" xfId="0" applyAlignment="1" applyBorder="1" applyFill="1" applyFont="1" applyNumberFormat="1">
      <alignment vertical="bottom"/>
    </xf>
    <xf borderId="32" fillId="5" fontId="2" numFmtId="49" xfId="0" applyBorder="1" applyFill="1" applyFont="1" applyNumberFormat="1"/>
    <xf borderId="28" fillId="17" fontId="2" numFmtId="164" xfId="0" applyAlignment="1" applyBorder="1" applyFill="1" applyFont="1" applyNumberFormat="1">
      <alignment vertical="bottom"/>
    </xf>
    <xf borderId="28" fillId="17" fontId="10" numFmtId="0" xfId="0" applyAlignment="1" applyBorder="1" applyFill="1" applyFont="1">
      <alignment vertical="bottom"/>
    </xf>
    <xf borderId="28" fillId="9" fontId="10" numFmtId="164" xfId="0" applyAlignment="1" applyBorder="1" applyFill="1" applyFont="1" applyNumberFormat="1">
      <alignment horizontal="left" readingOrder="0" vertical="bottom"/>
    </xf>
    <xf borderId="29" fillId="5" fontId="10" numFmtId="0" xfId="0" applyAlignment="1" applyBorder="1" applyFill="1" applyFont="1">
      <alignment horizontal="center"/>
    </xf>
    <xf borderId="32" fillId="5" fontId="4" numFmtId="0" xfId="0" applyBorder="1" applyFill="1" applyFont="1"/>
    <xf borderId="34" fillId="9" fontId="10" numFmtId="49" xfId="0" applyAlignment="1" applyBorder="1" applyFill="1" applyFont="1" applyNumberFormat="1">
      <alignment shrinkToFit="0" vertical="bottom" wrapText="1"/>
    </xf>
    <xf borderId="34" fillId="5" fontId="4" numFmtId="0" xfId="0" applyBorder="1" applyFill="1" applyFont="1"/>
    <xf borderId="35" fillId="5" fontId="4" numFmtId="0" xfId="0" applyBorder="1" applyFill="1" applyFont="1"/>
    <xf borderId="32" fillId="30" fontId="4" numFmtId="0" xfId="0" applyBorder="1" applyFill="1" applyFont="1"/>
    <xf borderId="29" fillId="9" fontId="10" numFmtId="49" xfId="0" applyAlignment="1" applyBorder="1" applyFill="1" applyFont="1" applyNumberFormat="1">
      <alignment shrinkToFit="0" vertical="bottom" wrapText="1"/>
    </xf>
    <xf borderId="34" fillId="9" fontId="10" numFmtId="49" xfId="0" applyAlignment="1" applyBorder="1" applyFill="1" applyFont="1" applyNumberFormat="1">
      <alignment readingOrder="0" shrinkToFit="0" wrapText="1"/>
    </xf>
    <xf borderId="28" fillId="17" fontId="10" numFmtId="164" xfId="0" applyAlignment="1" applyBorder="1" applyFill="1" applyFont="1" applyNumberFormat="1">
      <alignment horizontal="center" readingOrder="0" vertical="bottom"/>
    </xf>
    <xf borderId="32" fillId="17" fontId="2" numFmtId="49" xfId="0" applyBorder="1" applyFill="1" applyFont="1" applyNumberFormat="1"/>
    <xf borderId="36" fillId="17" fontId="1" numFmtId="0" xfId="0" applyAlignment="1" applyBorder="1" applyFill="1" applyFont="1">
      <alignment shrinkToFit="0" vertical="bottom" wrapText="0"/>
    </xf>
    <xf borderId="0" fillId="17" fontId="1" numFmtId="0" xfId="0" applyAlignment="1" applyFill="1" applyFont="1">
      <alignment shrinkToFit="0" vertical="bottom" wrapText="0"/>
    </xf>
    <xf borderId="0" fillId="17" fontId="26" numFmtId="0" xfId="0" applyFill="1" applyFont="1"/>
    <xf borderId="28" fillId="17" fontId="10" numFmtId="0" xfId="0" applyAlignment="1" applyBorder="1" applyFill="1" applyFont="1">
      <alignment readingOrder="0" vertical="bottom"/>
    </xf>
    <xf borderId="32" fillId="5" fontId="10" numFmtId="49" xfId="0" applyAlignment="1" applyBorder="1" applyFill="1" applyFont="1" applyNumberFormat="1">
      <alignment shrinkToFit="0" vertical="bottom" wrapText="1"/>
    </xf>
    <xf borderId="34" fillId="30" fontId="4" numFmtId="0" xfId="0" applyBorder="1" applyFill="1" applyFont="1"/>
    <xf borderId="35" fillId="30" fontId="4" numFmtId="0" xfId="0" applyBorder="1" applyFill="1" applyFont="1"/>
    <xf borderId="50" fillId="9" fontId="10" numFmtId="0" xfId="0" applyAlignment="1" applyBorder="1" applyFill="1" applyFont="1">
      <alignment shrinkToFit="0" vertical="bottom" wrapText="1"/>
    </xf>
    <xf borderId="50" fillId="9" fontId="10" numFmtId="164" xfId="0" applyAlignment="1" applyBorder="1" applyFill="1" applyFont="1" applyNumberFormat="1">
      <alignment shrinkToFit="0" vertical="bottom" wrapText="1"/>
    </xf>
    <xf borderId="29" fillId="9" fontId="10" numFmtId="49" xfId="0" applyAlignment="1" applyBorder="1" applyFill="1" applyFont="1" applyNumberFormat="1">
      <alignment horizontal="center" vertical="bottom"/>
    </xf>
    <xf borderId="28" fillId="9" fontId="10" numFmtId="49" xfId="0" applyAlignment="1" applyBorder="1" applyFill="1" applyFont="1" applyNumberFormat="1">
      <alignment horizontal="center" vertical="bottom"/>
    </xf>
    <xf borderId="0" fillId="9" fontId="26" numFmtId="0" xfId="0" applyFill="1" applyFont="1"/>
  </cellXfs>
  <cellStyles count="1">
    <cellStyle xfId="0" name="Normal" builtinId="0"/>
  </cellStyles>
  <dxfs count="18">
    <dxf>
      <font/>
      <fill>
        <patternFill patternType="none"/>
      </fill>
      <border/>
    </dxf>
    <dxf>
      <font>
        <color rgb="FF000000"/>
        <name val="Calibri"/>
      </font>
      <fill>
        <patternFill patternType="solid">
          <fgColor rgb="FFB7E1CD"/>
          <bgColor rgb="FFB7E1CD"/>
        </patternFill>
      </fill>
      <border/>
    </dxf>
    <dxf>
      <font>
        <color rgb="FF000000"/>
        <name val="Calibri"/>
      </font>
      <fill>
        <patternFill patternType="solid">
          <fgColor rgb="FF00FFFF"/>
          <bgColor rgb="FF00FFFF"/>
        </patternFill>
      </fill>
      <border/>
    </dxf>
    <dxf>
      <font>
        <color rgb="FF000000"/>
        <name val="Calibri"/>
      </font>
      <fill>
        <patternFill patternType="solid">
          <fgColor rgb="FFD5A6BD"/>
          <bgColor rgb="FFD5A6BD"/>
        </patternFill>
      </fill>
      <border/>
    </dxf>
    <dxf>
      <font>
        <color rgb="FF000000"/>
        <name val="Calibri"/>
      </font>
      <fill>
        <patternFill patternType="solid">
          <fgColor rgb="FFA4C2F4"/>
          <bgColor rgb="FFA4C2F4"/>
        </patternFill>
      </fill>
      <border/>
    </dxf>
    <dxf>
      <font>
        <color rgb="FF000000"/>
        <name val="Calibri"/>
      </font>
      <fill>
        <patternFill patternType="solid">
          <fgColor rgb="FFB6D7A8"/>
          <bgColor rgb="FFB6D7A8"/>
        </patternFill>
      </fill>
      <border/>
    </dxf>
    <dxf>
      <font>
        <color rgb="FF000000"/>
        <name val="Calibri"/>
      </font>
      <fill>
        <patternFill patternType="solid">
          <fgColor rgb="FF45818E"/>
          <bgColor rgb="FF45818E"/>
        </patternFill>
      </fill>
      <border/>
    </dxf>
    <dxf>
      <font>
        <color rgb="FF000000"/>
        <name val="Calibri"/>
      </font>
      <fill>
        <patternFill patternType="solid">
          <fgColor rgb="FFF6B26B"/>
          <bgColor rgb="FFF6B26B"/>
        </patternFill>
      </fill>
      <border/>
    </dxf>
    <dxf>
      <font>
        <color rgb="FF000000"/>
        <name val="Calibri"/>
      </font>
      <fill>
        <patternFill patternType="solid">
          <fgColor rgb="FFCCCCCC"/>
          <bgColor rgb="FFCCCCCC"/>
        </patternFill>
      </fill>
      <border/>
    </dxf>
    <dxf>
      <font>
        <color rgb="FF000000"/>
        <name val="Calibri"/>
      </font>
      <fill>
        <patternFill patternType="solid">
          <fgColor rgb="FF00FF00"/>
          <bgColor rgb="FF00FF00"/>
        </patternFill>
      </fill>
      <border/>
    </dxf>
    <dxf>
      <font>
        <color rgb="FF000000"/>
        <name val="Calibri"/>
      </font>
      <fill>
        <patternFill patternType="solid">
          <fgColor rgb="FFB4A7D6"/>
          <bgColor rgb="FFB4A7D6"/>
        </patternFill>
      </fill>
      <border/>
    </dxf>
    <dxf>
      <font>
        <color rgb="FF000000"/>
        <name val="Calibri"/>
      </font>
      <fill>
        <patternFill patternType="solid">
          <fgColor rgb="FFE06666"/>
          <bgColor rgb="FFE06666"/>
        </patternFill>
      </fill>
      <border/>
    </dxf>
    <dxf>
      <font>
        <color rgb="FF000000"/>
        <name val="Calibri"/>
      </font>
      <fill>
        <patternFill patternType="solid">
          <fgColor rgb="FF9FC5E8"/>
          <bgColor rgb="FF9FC5E8"/>
        </patternFill>
      </fill>
      <border/>
    </dxf>
    <dxf>
      <font>
        <color rgb="FF000000"/>
        <name val="Calibri"/>
      </font>
      <fill>
        <patternFill patternType="solid">
          <fgColor rgb="FFFF00FF"/>
          <bgColor rgb="FFFF00FF"/>
        </patternFill>
      </fill>
      <border/>
    </dxf>
    <dxf>
      <font>
        <color rgb="FF000000"/>
        <name val="Calibri"/>
      </font>
      <fill>
        <patternFill patternType="solid">
          <fgColor rgb="FFBF9000"/>
          <bgColor rgb="FFBF9000"/>
        </patternFill>
      </fill>
      <border/>
    </dxf>
    <dxf>
      <font>
        <color rgb="FF000000"/>
        <name val="Calibri"/>
      </font>
      <fill>
        <patternFill patternType="solid">
          <fgColor rgb="FF3C78D8"/>
          <bgColor rgb="FF3C78D8"/>
        </patternFill>
      </fill>
      <border/>
    </dxf>
    <dxf>
      <font>
        <color rgb="FFFF0000"/>
        <name val="Calibri"/>
      </font>
      <fill>
        <patternFill patternType="solid">
          <fgColor rgb="FFB7E1CD"/>
          <bgColor rgb="FFB7E1CD"/>
        </patternFill>
      </fill>
      <border/>
    </dxf>
    <dxf>
      <font>
        <color rgb="FF000000"/>
        <name val="Calibri"/>
      </font>
      <fill>
        <patternFill patternType="solid">
          <fgColor rgb="FFC9DAF8"/>
          <bgColor rgb="FFC9DAF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38100</xdr:rowOff>
    </xdr:from>
    <xdr:ext cx="6572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38100</xdr:rowOff>
    </xdr:from>
    <xdr:ext cx="657225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17" width="2.71"/>
    <col customWidth="1" min="18" max="18" width="2.57"/>
    <col customWidth="1" min="19" max="25" width="2.71"/>
    <col customWidth="1" min="26" max="26" width="1.14"/>
    <col customWidth="1" min="27" max="27" width="0.43"/>
    <col customWidth="1" min="28" max="28" width="2.0"/>
    <col customWidth="1" min="29" max="50" width="2.71"/>
    <col customWidth="1" min="51" max="51" width="2.86"/>
    <col customWidth="1" min="52" max="52" width="0.43"/>
    <col customWidth="1" min="53" max="56" width="2.71"/>
    <col customWidth="1" min="57" max="57" width="2.29"/>
    <col customWidth="1" min="58" max="58" width="2.57"/>
    <col customWidth="1" min="59" max="59" width="2.71"/>
    <col customWidth="1" min="60" max="60" width="3.0"/>
    <col customWidth="1" min="61" max="61" width="3.71"/>
    <col customWidth="1" min="62" max="62" width="2.71"/>
    <col customWidth="1" min="63" max="63" width="3.29"/>
    <col customWidth="1" min="64" max="64" width="2.43"/>
    <col customWidth="1" min="65" max="65" width="3.0"/>
    <col customWidth="1" min="66" max="67" width="2.86"/>
    <col customWidth="1" min="68" max="68" width="2.71"/>
    <col customWidth="1" min="69" max="69" width="3.57"/>
    <col customWidth="1" min="70" max="70" width="3.71"/>
    <col customWidth="1" min="71" max="71" width="3.57"/>
    <col customWidth="1" min="72" max="72" width="3.43"/>
    <col customWidth="1" min="73" max="73" width="3.14"/>
    <col customWidth="1" min="74" max="74" width="2.43"/>
    <col customWidth="1" min="75" max="75" width="2.71"/>
    <col customWidth="1" min="76" max="76" width="2.57"/>
    <col customWidth="1" min="77" max="77" width="0.71"/>
    <col customWidth="1" min="78" max="78" width="0.43"/>
  </cols>
  <sheetData>
    <row r="1" ht="2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 ht="15.7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7"/>
      <c r="AZ2" s="8"/>
      <c r="BA2" s="9" t="s">
        <v>0</v>
      </c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10"/>
    </row>
    <row r="3" ht="15.75" customHeight="1">
      <c r="A3" s="4"/>
      <c r="B3" s="12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7"/>
      <c r="AZ3" s="8"/>
      <c r="BA3" s="14" t="s">
        <v>4</v>
      </c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10"/>
    </row>
    <row r="4" ht="2.25" customHeight="1">
      <c r="A4" s="13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</row>
    <row r="5" ht="9.75" customHeight="1">
      <c r="A5" s="13"/>
      <c r="B5" s="15" t="s">
        <v>5</v>
      </c>
      <c r="C5" s="16" t="s">
        <v>6</v>
      </c>
      <c r="D5" s="17" t="s">
        <v>7</v>
      </c>
      <c r="E5" s="17" t="s">
        <v>8</v>
      </c>
      <c r="F5" s="17" t="s">
        <v>8</v>
      </c>
      <c r="G5" s="17" t="s">
        <v>6</v>
      </c>
      <c r="H5" s="17" t="s">
        <v>6</v>
      </c>
      <c r="I5" s="16" t="s">
        <v>9</v>
      </c>
      <c r="J5" s="15" t="s">
        <v>10</v>
      </c>
      <c r="K5" s="16" t="s">
        <v>6</v>
      </c>
      <c r="L5" s="17" t="s">
        <v>7</v>
      </c>
      <c r="M5" s="17" t="s">
        <v>8</v>
      </c>
      <c r="N5" s="17" t="s">
        <v>8</v>
      </c>
      <c r="O5" s="17" t="s">
        <v>6</v>
      </c>
      <c r="P5" s="17" t="s">
        <v>6</v>
      </c>
      <c r="Q5" s="16" t="s">
        <v>9</v>
      </c>
      <c r="R5" s="15" t="s">
        <v>11</v>
      </c>
      <c r="S5" s="16" t="s">
        <v>6</v>
      </c>
      <c r="T5" s="17" t="s">
        <v>7</v>
      </c>
      <c r="U5" s="17" t="s">
        <v>8</v>
      </c>
      <c r="V5" s="17" t="s">
        <v>8</v>
      </c>
      <c r="W5" s="17" t="s">
        <v>6</v>
      </c>
      <c r="X5" s="17" t="s">
        <v>6</v>
      </c>
      <c r="Y5" s="16" t="s">
        <v>9</v>
      </c>
      <c r="Z5" s="18"/>
      <c r="AA5" s="8"/>
      <c r="AB5" s="19" t="s">
        <v>12</v>
      </c>
      <c r="AC5" s="16" t="s">
        <v>6</v>
      </c>
      <c r="AD5" s="17" t="s">
        <v>7</v>
      </c>
      <c r="AE5" s="17" t="s">
        <v>8</v>
      </c>
      <c r="AF5" s="17" t="s">
        <v>8</v>
      </c>
      <c r="AG5" s="17" t="s">
        <v>6</v>
      </c>
      <c r="AH5" s="17" t="s">
        <v>6</v>
      </c>
      <c r="AI5" s="16" t="s">
        <v>9</v>
      </c>
      <c r="AJ5" s="19" t="s">
        <v>13</v>
      </c>
      <c r="AK5" s="20" t="s">
        <v>6</v>
      </c>
      <c r="AL5" s="17" t="s">
        <v>7</v>
      </c>
      <c r="AM5" s="17" t="s">
        <v>8</v>
      </c>
      <c r="AN5" s="17" t="s">
        <v>8</v>
      </c>
      <c r="AO5" s="17" t="s">
        <v>6</v>
      </c>
      <c r="AP5" s="21" t="s">
        <v>6</v>
      </c>
      <c r="AQ5" s="21" t="s">
        <v>9</v>
      </c>
      <c r="AR5" s="19" t="s">
        <v>14</v>
      </c>
      <c r="AS5" s="16" t="s">
        <v>6</v>
      </c>
      <c r="AT5" s="17" t="s">
        <v>7</v>
      </c>
      <c r="AU5" s="17" t="s">
        <v>8</v>
      </c>
      <c r="AV5" s="17" t="s">
        <v>8</v>
      </c>
      <c r="AW5" s="17" t="s">
        <v>6</v>
      </c>
      <c r="AX5" s="17" t="s">
        <v>6</v>
      </c>
      <c r="AY5" s="16" t="s">
        <v>9</v>
      </c>
      <c r="AZ5" s="8"/>
      <c r="BA5" s="15" t="s">
        <v>5</v>
      </c>
      <c r="BB5" s="16" t="s">
        <v>6</v>
      </c>
      <c r="BC5" s="17" t="s">
        <v>7</v>
      </c>
      <c r="BD5" s="17" t="s">
        <v>8</v>
      </c>
      <c r="BE5" s="17" t="s">
        <v>8</v>
      </c>
      <c r="BF5" s="17" t="s">
        <v>6</v>
      </c>
      <c r="BG5" s="17" t="s">
        <v>6</v>
      </c>
      <c r="BH5" s="16" t="s">
        <v>9</v>
      </c>
      <c r="BI5" s="15" t="s">
        <v>10</v>
      </c>
      <c r="BJ5" s="16" t="s">
        <v>6</v>
      </c>
      <c r="BK5" s="17" t="s">
        <v>7</v>
      </c>
      <c r="BL5" s="17" t="s">
        <v>8</v>
      </c>
      <c r="BM5" s="17" t="s">
        <v>8</v>
      </c>
      <c r="BN5" s="17" t="s">
        <v>6</v>
      </c>
      <c r="BO5" s="17" t="s">
        <v>6</v>
      </c>
      <c r="BP5" s="16" t="s">
        <v>9</v>
      </c>
      <c r="BQ5" s="15" t="s">
        <v>11</v>
      </c>
      <c r="BR5" s="16" t="s">
        <v>6</v>
      </c>
      <c r="BS5" s="17" t="s">
        <v>7</v>
      </c>
      <c r="BT5" s="17" t="s">
        <v>8</v>
      </c>
      <c r="BU5" s="17" t="s">
        <v>8</v>
      </c>
      <c r="BV5" s="17" t="s">
        <v>6</v>
      </c>
      <c r="BW5" s="17" t="s">
        <v>6</v>
      </c>
      <c r="BX5" s="16" t="s">
        <v>9</v>
      </c>
      <c r="BY5" s="22"/>
      <c r="BZ5" s="10"/>
    </row>
    <row r="6" ht="9.75" customHeight="1">
      <c r="A6" s="13"/>
      <c r="C6" s="27"/>
      <c r="D6" s="27"/>
      <c r="E6" s="27"/>
      <c r="F6" s="24">
        <v>1.0</v>
      </c>
      <c r="G6" s="25">
        <f t="shared" ref="G6:I6" si="1">F6+1</f>
        <v>2</v>
      </c>
      <c r="H6" s="25">
        <f t="shared" si="1"/>
        <v>3</v>
      </c>
      <c r="I6" s="25">
        <f t="shared" si="1"/>
        <v>4</v>
      </c>
      <c r="K6" s="23"/>
      <c r="L6" s="23"/>
      <c r="M6" s="23"/>
      <c r="N6" s="23"/>
      <c r="O6" s="23"/>
      <c r="P6" s="23"/>
      <c r="Q6" s="26">
        <v>1.0</v>
      </c>
      <c r="S6" s="27"/>
      <c r="T6" s="27"/>
      <c r="U6" s="27"/>
      <c r="V6" s="27"/>
      <c r="W6" s="27"/>
      <c r="X6" s="27"/>
      <c r="Y6" s="26">
        <v>1.0</v>
      </c>
      <c r="Z6" s="18"/>
      <c r="AA6" s="8"/>
      <c r="AC6" s="27"/>
      <c r="AD6" s="27"/>
      <c r="AE6" s="25">
        <v>1.0</v>
      </c>
      <c r="AF6" s="24">
        <f t="shared" ref="AF6:AI6" si="2">AE6+1</f>
        <v>2</v>
      </c>
      <c r="AG6" s="25">
        <f t="shared" si="2"/>
        <v>3</v>
      </c>
      <c r="AH6" s="25">
        <f t="shared" si="2"/>
        <v>4</v>
      </c>
      <c r="AI6" s="25">
        <f t="shared" si="2"/>
        <v>5</v>
      </c>
      <c r="AK6" s="27"/>
      <c r="AL6" s="27"/>
      <c r="AM6" s="27"/>
      <c r="AN6" s="27"/>
      <c r="AO6" s="27"/>
      <c r="AP6" s="26">
        <v>1.0</v>
      </c>
      <c r="AQ6" s="26">
        <f>AP6+1</f>
        <v>2</v>
      </c>
      <c r="AS6" s="33"/>
      <c r="AT6" s="34">
        <v>1.0</v>
      </c>
      <c r="AU6" s="33">
        <f t="shared" ref="AU6:AY6" si="3">AT6+1</f>
        <v>2</v>
      </c>
      <c r="AV6" s="33">
        <f t="shared" si="3"/>
        <v>3</v>
      </c>
      <c r="AW6" s="33">
        <f t="shared" si="3"/>
        <v>4</v>
      </c>
      <c r="AX6" s="35">
        <f t="shared" si="3"/>
        <v>5</v>
      </c>
      <c r="AY6" s="35">
        <f t="shared" si="3"/>
        <v>6</v>
      </c>
      <c r="AZ6" s="8"/>
      <c r="BB6" s="27"/>
      <c r="BC6" s="27"/>
      <c r="BD6" s="27"/>
      <c r="BE6" s="27"/>
      <c r="BF6" s="24">
        <v>1.0</v>
      </c>
      <c r="BG6" s="26">
        <f t="shared" ref="BG6:BH6" si="4">BF6+1</f>
        <v>2</v>
      </c>
      <c r="BH6" s="26">
        <f t="shared" si="4"/>
        <v>3</v>
      </c>
      <c r="BJ6" s="36">
        <v>1.0</v>
      </c>
      <c r="BK6" s="36">
        <f t="shared" ref="BK6:BP6" si="5">BJ6+1</f>
        <v>2</v>
      </c>
      <c r="BL6" s="36">
        <f t="shared" si="5"/>
        <v>3</v>
      </c>
      <c r="BM6" s="36">
        <f t="shared" si="5"/>
        <v>4</v>
      </c>
      <c r="BN6" s="26">
        <f t="shared" si="5"/>
        <v>5</v>
      </c>
      <c r="BO6" s="26">
        <f t="shared" si="5"/>
        <v>6</v>
      </c>
      <c r="BP6" s="26">
        <f t="shared" si="5"/>
        <v>7</v>
      </c>
      <c r="BR6" s="37">
        <v>1.0</v>
      </c>
      <c r="BS6" s="26">
        <f t="shared" ref="BS6:BX6" si="6">BR6+1</f>
        <v>2</v>
      </c>
      <c r="BT6" s="26">
        <f t="shared" si="6"/>
        <v>3</v>
      </c>
      <c r="BU6" s="26">
        <f t="shared" si="6"/>
        <v>4</v>
      </c>
      <c r="BV6" s="26">
        <f t="shared" si="6"/>
        <v>5</v>
      </c>
      <c r="BW6" s="26">
        <f t="shared" si="6"/>
        <v>6</v>
      </c>
      <c r="BX6" s="26">
        <f t="shared" si="6"/>
        <v>7</v>
      </c>
      <c r="BY6" s="22"/>
      <c r="BZ6" s="10"/>
    </row>
    <row r="7" ht="9.75" customHeight="1">
      <c r="A7" s="13"/>
      <c r="C7" s="25">
        <f>I6+1</f>
        <v>5</v>
      </c>
      <c r="D7" s="25">
        <f t="shared" ref="D7:I7" si="7">C7+1</f>
        <v>6</v>
      </c>
      <c r="E7" s="25">
        <f t="shared" si="7"/>
        <v>7</v>
      </c>
      <c r="F7" s="25">
        <f t="shared" si="7"/>
        <v>8</v>
      </c>
      <c r="G7" s="25">
        <f t="shared" si="7"/>
        <v>9</v>
      </c>
      <c r="H7" s="25">
        <f t="shared" si="7"/>
        <v>10</v>
      </c>
      <c r="I7" s="25">
        <f t="shared" si="7"/>
        <v>11</v>
      </c>
      <c r="K7" s="26">
        <f>Q6+1</f>
        <v>2</v>
      </c>
      <c r="L7" s="26">
        <f t="shared" ref="L7:Q7" si="8">K7+1</f>
        <v>3</v>
      </c>
      <c r="M7" s="26">
        <f t="shared" si="8"/>
        <v>4</v>
      </c>
      <c r="N7" s="26">
        <f t="shared" si="8"/>
        <v>5</v>
      </c>
      <c r="O7" s="26">
        <f t="shared" si="8"/>
        <v>6</v>
      </c>
      <c r="P7" s="26">
        <f t="shared" si="8"/>
        <v>7</v>
      </c>
      <c r="Q7" s="26">
        <f t="shared" si="8"/>
        <v>8</v>
      </c>
      <c r="S7" s="26">
        <f>Y6+1</f>
        <v>2</v>
      </c>
      <c r="T7" s="38">
        <f t="shared" ref="T7:Y7" si="9">S7+1</f>
        <v>3</v>
      </c>
      <c r="U7" s="38">
        <f t="shared" si="9"/>
        <v>4</v>
      </c>
      <c r="V7" s="38">
        <f t="shared" si="9"/>
        <v>5</v>
      </c>
      <c r="W7" s="38">
        <f t="shared" si="9"/>
        <v>6</v>
      </c>
      <c r="X7" s="26">
        <f t="shared" si="9"/>
        <v>7</v>
      </c>
      <c r="Y7" s="26">
        <f t="shared" si="9"/>
        <v>8</v>
      </c>
      <c r="Z7" s="18"/>
      <c r="AA7" s="8"/>
      <c r="AC7" s="39">
        <v>6.0</v>
      </c>
      <c r="AD7" s="40">
        <f t="shared" ref="AD7:AI7" si="10">AD6+7</f>
        <v>7</v>
      </c>
      <c r="AE7" s="40">
        <f t="shared" si="10"/>
        <v>8</v>
      </c>
      <c r="AF7" s="40">
        <f t="shared" si="10"/>
        <v>9</v>
      </c>
      <c r="AG7" s="36">
        <f t="shared" si="10"/>
        <v>10</v>
      </c>
      <c r="AH7" s="26">
        <f t="shared" si="10"/>
        <v>11</v>
      </c>
      <c r="AI7" s="26">
        <f t="shared" si="10"/>
        <v>12</v>
      </c>
      <c r="AK7" s="36">
        <f>AQ6+1</f>
        <v>3</v>
      </c>
      <c r="AL7" s="38">
        <f t="shared" ref="AL7:AQ7" si="11">AK7+1</f>
        <v>4</v>
      </c>
      <c r="AM7" s="41">
        <f t="shared" si="11"/>
        <v>5</v>
      </c>
      <c r="AN7" s="24">
        <f t="shared" si="11"/>
        <v>6</v>
      </c>
      <c r="AO7" s="26">
        <f t="shared" si="11"/>
        <v>7</v>
      </c>
      <c r="AP7" s="26">
        <f t="shared" si="11"/>
        <v>8</v>
      </c>
      <c r="AQ7" s="26">
        <f t="shared" si="11"/>
        <v>9</v>
      </c>
      <c r="AS7" s="42">
        <f t="shared" ref="AS7:AY7" si="12">AS6+7</f>
        <v>7</v>
      </c>
      <c r="AT7" s="33">
        <f t="shared" si="12"/>
        <v>8</v>
      </c>
      <c r="AU7" s="33">
        <f t="shared" si="12"/>
        <v>9</v>
      </c>
      <c r="AV7" s="43">
        <f t="shared" si="12"/>
        <v>10</v>
      </c>
      <c r="AW7" s="43">
        <f t="shared" si="12"/>
        <v>11</v>
      </c>
      <c r="AX7" s="43">
        <f t="shared" si="12"/>
        <v>12</v>
      </c>
      <c r="AY7" s="35">
        <f t="shared" si="12"/>
        <v>13</v>
      </c>
      <c r="AZ7" s="8"/>
      <c r="BB7" s="25">
        <f>BH6+1</f>
        <v>4</v>
      </c>
      <c r="BC7" s="25">
        <f t="shared" ref="BC7:BH7" si="13">BB7+1</f>
        <v>5</v>
      </c>
      <c r="BD7" s="25">
        <f t="shared" si="13"/>
        <v>6</v>
      </c>
      <c r="BE7" s="25">
        <f t="shared" si="13"/>
        <v>7</v>
      </c>
      <c r="BF7" s="25">
        <f t="shared" si="13"/>
        <v>8</v>
      </c>
      <c r="BG7" s="25">
        <f t="shared" si="13"/>
        <v>9</v>
      </c>
      <c r="BH7" s="25">
        <f t="shared" si="13"/>
        <v>10</v>
      </c>
      <c r="BJ7" s="26">
        <f t="shared" ref="BJ7:BJ8" si="24">BP6+1</f>
        <v>8</v>
      </c>
      <c r="BK7" s="24">
        <f t="shared" ref="BK7:BP7" si="14">BJ7+1</f>
        <v>9</v>
      </c>
      <c r="BL7" s="26">
        <f t="shared" si="14"/>
        <v>10</v>
      </c>
      <c r="BM7" s="41">
        <f t="shared" si="14"/>
        <v>11</v>
      </c>
      <c r="BN7" s="46">
        <f t="shared" si="14"/>
        <v>12</v>
      </c>
      <c r="BO7" s="26">
        <f t="shared" si="14"/>
        <v>13</v>
      </c>
      <c r="BP7" s="26">
        <f t="shared" si="14"/>
        <v>14</v>
      </c>
      <c r="BR7" s="26">
        <f t="shared" ref="BR7:BR10" si="26">BR6+7</f>
        <v>8</v>
      </c>
      <c r="BS7" s="26">
        <f t="shared" ref="BS7:BX7" si="15">BR7+1</f>
        <v>9</v>
      </c>
      <c r="BT7" s="26">
        <f t="shared" si="15"/>
        <v>10</v>
      </c>
      <c r="BU7" s="26">
        <f t="shared" si="15"/>
        <v>11</v>
      </c>
      <c r="BV7" s="26">
        <f t="shared" si="15"/>
        <v>12</v>
      </c>
      <c r="BW7" s="26">
        <f t="shared" si="15"/>
        <v>13</v>
      </c>
      <c r="BX7" s="26">
        <f t="shared" si="15"/>
        <v>14</v>
      </c>
      <c r="BY7" s="22"/>
      <c r="BZ7" s="10"/>
    </row>
    <row r="8" ht="9.75" customHeight="1">
      <c r="A8" s="13"/>
      <c r="C8" s="25">
        <f t="shared" ref="C8:I8" si="16">C7+7</f>
        <v>12</v>
      </c>
      <c r="D8" s="25">
        <f t="shared" si="16"/>
        <v>13</v>
      </c>
      <c r="E8" s="25">
        <f t="shared" si="16"/>
        <v>14</v>
      </c>
      <c r="F8" s="25">
        <f t="shared" si="16"/>
        <v>15</v>
      </c>
      <c r="G8" s="25">
        <f t="shared" si="16"/>
        <v>16</v>
      </c>
      <c r="H8" s="25">
        <f t="shared" si="16"/>
        <v>17</v>
      </c>
      <c r="I8" s="25">
        <f t="shared" si="16"/>
        <v>18</v>
      </c>
      <c r="K8" s="26">
        <f t="shared" ref="K8:N8" si="17">K7+7</f>
        <v>9</v>
      </c>
      <c r="L8" s="26">
        <f t="shared" si="17"/>
        <v>10</v>
      </c>
      <c r="M8" s="26">
        <f t="shared" si="17"/>
        <v>11</v>
      </c>
      <c r="N8" s="26">
        <f t="shared" si="17"/>
        <v>12</v>
      </c>
      <c r="O8" s="47">
        <v>13.0</v>
      </c>
      <c r="P8" s="26">
        <f t="shared" ref="P8:Q8" si="18">P7+7</f>
        <v>14</v>
      </c>
      <c r="Q8" s="26">
        <f t="shared" si="18"/>
        <v>15</v>
      </c>
      <c r="S8" s="48">
        <f t="shared" ref="S8:Y8" si="19">S7+7</f>
        <v>9</v>
      </c>
      <c r="T8" s="49">
        <f t="shared" si="19"/>
        <v>10</v>
      </c>
      <c r="U8" s="41">
        <f t="shared" si="19"/>
        <v>11</v>
      </c>
      <c r="V8" s="36">
        <f t="shared" si="19"/>
        <v>12</v>
      </c>
      <c r="W8" s="28">
        <f t="shared" si="19"/>
        <v>13</v>
      </c>
      <c r="X8" s="26">
        <f t="shared" si="19"/>
        <v>14</v>
      </c>
      <c r="Y8" s="26">
        <f t="shared" si="19"/>
        <v>15</v>
      </c>
      <c r="Z8" s="18"/>
      <c r="AA8" s="8"/>
      <c r="AC8" s="36">
        <f t="shared" ref="AC8:AI8" si="20">AC7+7</f>
        <v>13</v>
      </c>
      <c r="AD8" s="36">
        <f t="shared" si="20"/>
        <v>14</v>
      </c>
      <c r="AE8" s="33">
        <f t="shared" si="20"/>
        <v>15</v>
      </c>
      <c r="AF8" s="36">
        <f t="shared" si="20"/>
        <v>16</v>
      </c>
      <c r="AG8" s="50">
        <f t="shared" si="20"/>
        <v>17</v>
      </c>
      <c r="AH8" s="41">
        <f t="shared" si="20"/>
        <v>18</v>
      </c>
      <c r="AI8" s="26">
        <f t="shared" si="20"/>
        <v>19</v>
      </c>
      <c r="AK8" s="41">
        <f t="shared" ref="AK8:AQ8" si="21">AK7+7</f>
        <v>10</v>
      </c>
      <c r="AL8" s="41">
        <f t="shared" si="21"/>
        <v>11</v>
      </c>
      <c r="AM8" s="41">
        <f t="shared" si="21"/>
        <v>12</v>
      </c>
      <c r="AN8" s="41">
        <f t="shared" si="21"/>
        <v>13</v>
      </c>
      <c r="AO8" s="41">
        <f t="shared" si="21"/>
        <v>14</v>
      </c>
      <c r="AP8" s="41">
        <f t="shared" si="21"/>
        <v>15</v>
      </c>
      <c r="AQ8" s="26">
        <f t="shared" si="21"/>
        <v>16</v>
      </c>
      <c r="AS8" s="33">
        <f t="shared" ref="AS8:AY8" si="22">AS7+7</f>
        <v>14</v>
      </c>
      <c r="AT8" s="33">
        <f t="shared" si="22"/>
        <v>15</v>
      </c>
      <c r="AU8" s="45">
        <f t="shared" si="22"/>
        <v>16</v>
      </c>
      <c r="AV8" s="45">
        <f t="shared" si="22"/>
        <v>17</v>
      </c>
      <c r="AW8" s="45">
        <f t="shared" si="22"/>
        <v>18</v>
      </c>
      <c r="AX8" s="45">
        <f t="shared" si="22"/>
        <v>19</v>
      </c>
      <c r="AY8" s="45">
        <f t="shared" si="22"/>
        <v>20</v>
      </c>
      <c r="AZ8" s="8"/>
      <c r="BB8" s="25">
        <f t="shared" ref="BB8:BH8" si="23">BB7+7</f>
        <v>11</v>
      </c>
      <c r="BC8" s="25">
        <f t="shared" si="23"/>
        <v>12</v>
      </c>
      <c r="BD8" s="25">
        <f t="shared" si="23"/>
        <v>13</v>
      </c>
      <c r="BE8" s="25">
        <f t="shared" si="23"/>
        <v>14</v>
      </c>
      <c r="BF8" s="25">
        <f t="shared" si="23"/>
        <v>15</v>
      </c>
      <c r="BG8" s="26">
        <f t="shared" si="23"/>
        <v>16</v>
      </c>
      <c r="BH8" s="26">
        <f t="shared" si="23"/>
        <v>17</v>
      </c>
      <c r="BJ8" s="40">
        <f t="shared" si="24"/>
        <v>15</v>
      </c>
      <c r="BK8" s="40">
        <f t="shared" ref="BK8:BO8" si="25">BJ8+1</f>
        <v>16</v>
      </c>
      <c r="BL8" s="40">
        <f t="shared" si="25"/>
        <v>17</v>
      </c>
      <c r="BM8" s="31">
        <f t="shared" si="25"/>
        <v>18</v>
      </c>
      <c r="BN8" s="31">
        <f t="shared" si="25"/>
        <v>19</v>
      </c>
      <c r="BO8" s="26">
        <f t="shared" si="25"/>
        <v>20</v>
      </c>
      <c r="BP8" s="26">
        <f t="shared" ref="BP8:BP9" si="37">BP7+7</f>
        <v>21</v>
      </c>
      <c r="BR8" s="26">
        <f t="shared" si="26"/>
        <v>15</v>
      </c>
      <c r="BS8" s="26">
        <f t="shared" ref="BS8:BX8" si="27">BS7+7</f>
        <v>16</v>
      </c>
      <c r="BT8" s="26">
        <f t="shared" si="27"/>
        <v>17</v>
      </c>
      <c r="BU8" s="26">
        <f t="shared" si="27"/>
        <v>18</v>
      </c>
      <c r="BV8" s="26">
        <f t="shared" si="27"/>
        <v>19</v>
      </c>
      <c r="BW8" s="26">
        <f t="shared" si="27"/>
        <v>20</v>
      </c>
      <c r="BX8" s="26">
        <f t="shared" si="27"/>
        <v>21</v>
      </c>
      <c r="BY8" s="22"/>
      <c r="BZ8" s="10"/>
    </row>
    <row r="9" ht="9.75" customHeight="1">
      <c r="A9" s="13"/>
      <c r="C9" s="25">
        <f t="shared" ref="C9:I9" si="28">C8+7</f>
        <v>19</v>
      </c>
      <c r="D9" s="24">
        <f t="shared" si="28"/>
        <v>20</v>
      </c>
      <c r="E9" s="25">
        <f t="shared" si="28"/>
        <v>21</v>
      </c>
      <c r="F9" s="26">
        <f t="shared" si="28"/>
        <v>22</v>
      </c>
      <c r="G9" s="26">
        <f t="shared" si="28"/>
        <v>23</v>
      </c>
      <c r="H9" s="26">
        <f t="shared" si="28"/>
        <v>24</v>
      </c>
      <c r="I9" s="26">
        <f t="shared" si="28"/>
        <v>25</v>
      </c>
      <c r="K9" s="26">
        <f t="shared" ref="K9:Q9" si="29">K8+7</f>
        <v>16</v>
      </c>
      <c r="L9" s="24">
        <f t="shared" si="29"/>
        <v>17</v>
      </c>
      <c r="M9" s="26">
        <f t="shared" si="29"/>
        <v>18</v>
      </c>
      <c r="N9" s="26">
        <f t="shared" si="29"/>
        <v>19</v>
      </c>
      <c r="O9" s="26">
        <f t="shared" si="29"/>
        <v>20</v>
      </c>
      <c r="P9" s="26">
        <f t="shared" si="29"/>
        <v>21</v>
      </c>
      <c r="Q9" s="26">
        <f t="shared" si="29"/>
        <v>22</v>
      </c>
      <c r="S9" s="36">
        <f t="shared" ref="S9:Y9" si="30">S8+7</f>
        <v>16</v>
      </c>
      <c r="T9" s="36">
        <f t="shared" si="30"/>
        <v>17</v>
      </c>
      <c r="U9" s="36">
        <f t="shared" si="30"/>
        <v>18</v>
      </c>
      <c r="V9" s="36">
        <f t="shared" si="30"/>
        <v>19</v>
      </c>
      <c r="W9" s="50">
        <f t="shared" si="30"/>
        <v>20</v>
      </c>
      <c r="X9" s="28">
        <f t="shared" si="30"/>
        <v>21</v>
      </c>
      <c r="Y9" s="26">
        <f t="shared" si="30"/>
        <v>22</v>
      </c>
      <c r="Z9" s="18"/>
      <c r="AA9" s="8"/>
      <c r="AC9" s="36">
        <f t="shared" ref="AC9:AI9" si="31">AC8+7</f>
        <v>20</v>
      </c>
      <c r="AD9" s="36">
        <f t="shared" si="31"/>
        <v>21</v>
      </c>
      <c r="AE9" s="36">
        <f t="shared" si="31"/>
        <v>22</v>
      </c>
      <c r="AF9" s="36">
        <f t="shared" si="31"/>
        <v>23</v>
      </c>
      <c r="AG9" s="36">
        <f t="shared" si="31"/>
        <v>24</v>
      </c>
      <c r="AH9" s="44">
        <f t="shared" si="31"/>
        <v>25</v>
      </c>
      <c r="AI9" s="26">
        <f t="shared" si="31"/>
        <v>26</v>
      </c>
      <c r="AK9" s="36">
        <f t="shared" ref="AK9:AQ9" si="32">AK8+7</f>
        <v>17</v>
      </c>
      <c r="AL9" s="36">
        <f t="shared" si="32"/>
        <v>18</v>
      </c>
      <c r="AM9" s="36">
        <f t="shared" si="32"/>
        <v>19</v>
      </c>
      <c r="AN9" s="36">
        <f t="shared" si="32"/>
        <v>20</v>
      </c>
      <c r="AO9" s="36">
        <f t="shared" si="32"/>
        <v>21</v>
      </c>
      <c r="AP9" s="26">
        <f t="shared" si="32"/>
        <v>22</v>
      </c>
      <c r="AQ9" s="26">
        <f t="shared" si="32"/>
        <v>23</v>
      </c>
      <c r="AS9" s="45">
        <f t="shared" ref="AS9:AY9" si="33">AS8+7</f>
        <v>21</v>
      </c>
      <c r="AT9" s="33">
        <f t="shared" si="33"/>
        <v>22</v>
      </c>
      <c r="AU9" s="33">
        <f t="shared" si="33"/>
        <v>23</v>
      </c>
      <c r="AV9" s="33">
        <f t="shared" si="33"/>
        <v>24</v>
      </c>
      <c r="AW9" s="33">
        <f t="shared" si="33"/>
        <v>25</v>
      </c>
      <c r="AX9" s="54">
        <f t="shared" si="33"/>
        <v>26</v>
      </c>
      <c r="AY9" s="35">
        <f t="shared" si="33"/>
        <v>27</v>
      </c>
      <c r="AZ9" s="8"/>
      <c r="BB9" s="36">
        <f t="shared" ref="BB9:BH9" si="34">BB8+7</f>
        <v>18</v>
      </c>
      <c r="BC9" s="36">
        <f t="shared" si="34"/>
        <v>19</v>
      </c>
      <c r="BD9" s="24">
        <f t="shared" si="34"/>
        <v>20</v>
      </c>
      <c r="BE9" s="36">
        <f t="shared" si="34"/>
        <v>21</v>
      </c>
      <c r="BF9" s="36">
        <f t="shared" si="34"/>
        <v>22</v>
      </c>
      <c r="BG9" s="41">
        <f t="shared" si="34"/>
        <v>23</v>
      </c>
      <c r="BH9" s="26">
        <f t="shared" si="34"/>
        <v>24</v>
      </c>
      <c r="BJ9" s="57">
        <f t="shared" ref="BJ9:BL9" si="35">BJ8+7</f>
        <v>22</v>
      </c>
      <c r="BK9" s="26">
        <f t="shared" si="35"/>
        <v>23</v>
      </c>
      <c r="BL9" s="26">
        <f t="shared" si="35"/>
        <v>24</v>
      </c>
      <c r="BM9" s="26">
        <f t="shared" ref="BM9:BO9" si="36">BL9+1</f>
        <v>25</v>
      </c>
      <c r="BN9" s="26">
        <f t="shared" si="36"/>
        <v>26</v>
      </c>
      <c r="BO9" s="26">
        <f t="shared" si="36"/>
        <v>27</v>
      </c>
      <c r="BP9" s="26">
        <f t="shared" si="37"/>
        <v>28</v>
      </c>
      <c r="BR9" s="26">
        <f t="shared" si="26"/>
        <v>22</v>
      </c>
      <c r="BS9" s="26">
        <f t="shared" ref="BS9:BX9" si="38">BS8+7</f>
        <v>23</v>
      </c>
      <c r="BT9" s="26">
        <f t="shared" si="38"/>
        <v>24</v>
      </c>
      <c r="BU9" s="26">
        <f t="shared" si="38"/>
        <v>25</v>
      </c>
      <c r="BV9" s="24">
        <f t="shared" si="38"/>
        <v>26</v>
      </c>
      <c r="BW9" s="26">
        <f t="shared" si="38"/>
        <v>27</v>
      </c>
      <c r="BX9" s="26">
        <f t="shared" si="38"/>
        <v>28</v>
      </c>
      <c r="BY9" s="22"/>
      <c r="BZ9" s="10"/>
    </row>
    <row r="10" ht="9.75" customHeight="1">
      <c r="A10" s="13"/>
      <c r="C10" s="26">
        <f t="shared" ref="C10:H10" si="39">C9+7</f>
        <v>26</v>
      </c>
      <c r="D10" s="26">
        <f t="shared" si="39"/>
        <v>27</v>
      </c>
      <c r="E10" s="26">
        <f t="shared" si="39"/>
        <v>28</v>
      </c>
      <c r="F10" s="26">
        <f t="shared" si="39"/>
        <v>29</v>
      </c>
      <c r="G10" s="26">
        <f t="shared" si="39"/>
        <v>30</v>
      </c>
      <c r="H10" s="26">
        <f t="shared" si="39"/>
        <v>31</v>
      </c>
      <c r="I10" s="27"/>
      <c r="K10" s="26">
        <f t="shared" ref="K10:P10" si="40">K9+7</f>
        <v>23</v>
      </c>
      <c r="L10" s="26">
        <f t="shared" si="40"/>
        <v>24</v>
      </c>
      <c r="M10" s="26">
        <f t="shared" si="40"/>
        <v>25</v>
      </c>
      <c r="N10" s="26">
        <f t="shared" si="40"/>
        <v>26</v>
      </c>
      <c r="O10" s="26">
        <f t="shared" si="40"/>
        <v>27</v>
      </c>
      <c r="P10" s="26">
        <f t="shared" si="40"/>
        <v>28</v>
      </c>
      <c r="Q10" s="23"/>
      <c r="S10" s="36">
        <f t="shared" ref="S10:Y10" si="41">S9+7</f>
        <v>23</v>
      </c>
      <c r="T10" s="36">
        <f t="shared" si="41"/>
        <v>24</v>
      </c>
      <c r="U10" s="36">
        <f t="shared" si="41"/>
        <v>25</v>
      </c>
      <c r="V10" s="36">
        <f t="shared" si="41"/>
        <v>26</v>
      </c>
      <c r="W10" s="36">
        <f t="shared" si="41"/>
        <v>27</v>
      </c>
      <c r="X10" s="28">
        <f t="shared" si="41"/>
        <v>28</v>
      </c>
      <c r="Y10" s="26">
        <f t="shared" si="41"/>
        <v>29</v>
      </c>
      <c r="Z10" s="18"/>
      <c r="AA10" s="8"/>
      <c r="AC10" s="36">
        <f t="shared" ref="AC10:AG10" si="42">AC9+7</f>
        <v>27</v>
      </c>
      <c r="AD10" s="36">
        <f t="shared" si="42"/>
        <v>28</v>
      </c>
      <c r="AE10" s="44">
        <f t="shared" si="42"/>
        <v>29</v>
      </c>
      <c r="AF10" s="44">
        <f t="shared" si="42"/>
        <v>30</v>
      </c>
      <c r="AG10" s="44">
        <f t="shared" si="42"/>
        <v>31</v>
      </c>
      <c r="AH10" s="27"/>
      <c r="AI10" s="27"/>
      <c r="AK10" s="36">
        <f t="shared" ref="AK10:AQ10" si="43">AK9+7</f>
        <v>24</v>
      </c>
      <c r="AL10" s="36">
        <f t="shared" si="43"/>
        <v>25</v>
      </c>
      <c r="AM10" s="41">
        <f t="shared" si="43"/>
        <v>26</v>
      </c>
      <c r="AN10" s="36">
        <f t="shared" si="43"/>
        <v>27</v>
      </c>
      <c r="AO10" s="36">
        <f t="shared" si="43"/>
        <v>28</v>
      </c>
      <c r="AP10" s="41">
        <f t="shared" si="43"/>
        <v>29</v>
      </c>
      <c r="AQ10" s="26">
        <f t="shared" si="43"/>
        <v>30</v>
      </c>
      <c r="AS10" s="43">
        <f t="shared" ref="AS10:AU10" si="44">AS9+7</f>
        <v>28</v>
      </c>
      <c r="AT10" s="33">
        <f t="shared" si="44"/>
        <v>29</v>
      </c>
      <c r="AU10" s="33">
        <f t="shared" si="44"/>
        <v>30</v>
      </c>
      <c r="AV10" s="59"/>
      <c r="AW10" s="59"/>
      <c r="AX10" s="59"/>
      <c r="AY10" s="59"/>
      <c r="AZ10" s="8"/>
      <c r="BB10" s="36">
        <f t="shared" ref="BB10:BH10" si="45">BB9+7</f>
        <v>25</v>
      </c>
      <c r="BC10" s="36">
        <f t="shared" si="45"/>
        <v>26</v>
      </c>
      <c r="BD10" s="36">
        <f t="shared" si="45"/>
        <v>27</v>
      </c>
      <c r="BE10" s="36">
        <f t="shared" si="45"/>
        <v>28</v>
      </c>
      <c r="BF10" s="36">
        <f t="shared" si="45"/>
        <v>29</v>
      </c>
      <c r="BG10" s="26">
        <f t="shared" si="45"/>
        <v>30</v>
      </c>
      <c r="BH10" s="26">
        <f t="shared" si="45"/>
        <v>31</v>
      </c>
      <c r="BJ10" s="36"/>
      <c r="BK10" s="36"/>
      <c r="BL10" s="36"/>
      <c r="BM10" s="33"/>
      <c r="BN10" s="33"/>
      <c r="BO10" s="33"/>
      <c r="BP10" s="27"/>
      <c r="BR10" s="26">
        <f t="shared" si="26"/>
        <v>29</v>
      </c>
      <c r="BS10" s="26">
        <f t="shared" ref="BS10:BT10" si="46">BS9+7</f>
        <v>30</v>
      </c>
      <c r="BT10" s="26">
        <f t="shared" si="46"/>
        <v>31</v>
      </c>
      <c r="BU10" s="36"/>
      <c r="BV10" s="36"/>
      <c r="BW10" s="36"/>
      <c r="BX10" s="36"/>
      <c r="BY10" s="22"/>
      <c r="BZ10" s="10"/>
    </row>
    <row r="11" ht="9.75" customHeight="1">
      <c r="A11" s="13"/>
      <c r="C11" s="18"/>
      <c r="D11" s="18"/>
      <c r="E11" s="18"/>
      <c r="F11" s="18"/>
      <c r="G11" s="18"/>
      <c r="H11" s="18"/>
      <c r="I11" s="18"/>
      <c r="K11" s="18"/>
      <c r="L11" s="18"/>
      <c r="M11" s="18"/>
      <c r="N11" s="18"/>
      <c r="O11" s="18"/>
      <c r="P11" s="18"/>
      <c r="Q11" s="18"/>
      <c r="S11" s="36">
        <f t="shared" ref="S11:T11" si="47">S10+7</f>
        <v>30</v>
      </c>
      <c r="T11" s="36">
        <f t="shared" si="47"/>
        <v>31</v>
      </c>
      <c r="U11" s="27"/>
      <c r="V11" s="27"/>
      <c r="W11" s="27"/>
      <c r="X11" s="27"/>
      <c r="Y11" s="27"/>
      <c r="Z11" s="18"/>
      <c r="AA11" s="8"/>
      <c r="AC11" s="23"/>
      <c r="AD11" s="23"/>
      <c r="AE11" s="23"/>
      <c r="AF11" s="23"/>
      <c r="AG11" s="23"/>
      <c r="AH11" s="23"/>
      <c r="AI11" s="23"/>
      <c r="AK11" s="28">
        <f>AK10+7</f>
        <v>31</v>
      </c>
      <c r="AL11" s="23"/>
      <c r="AM11" s="23"/>
      <c r="AN11" s="23"/>
      <c r="AO11" s="23"/>
      <c r="AP11" s="23"/>
      <c r="AQ11" s="23"/>
      <c r="AS11" s="23"/>
      <c r="AT11" s="23"/>
      <c r="AU11" s="23"/>
      <c r="AV11" s="23"/>
      <c r="AW11" s="23"/>
      <c r="AX11" s="23"/>
      <c r="AY11" s="23"/>
      <c r="AZ11" s="8"/>
      <c r="BB11" s="18"/>
      <c r="BC11" s="18"/>
      <c r="BD11" s="18"/>
      <c r="BE11" s="18"/>
      <c r="BF11" s="18"/>
      <c r="BG11" s="18"/>
      <c r="BH11" s="18"/>
      <c r="BJ11" s="18"/>
      <c r="BK11" s="18"/>
      <c r="BL11" s="18"/>
      <c r="BM11" s="18"/>
      <c r="BN11" s="18"/>
      <c r="BO11" s="18"/>
      <c r="BP11" s="18"/>
      <c r="BR11" s="36"/>
      <c r="BS11" s="36"/>
      <c r="BT11" s="27"/>
      <c r="BU11" s="27"/>
      <c r="BV11" s="27"/>
      <c r="BW11" s="27"/>
      <c r="BX11" s="27"/>
      <c r="BY11" s="22"/>
      <c r="BZ11" s="10"/>
    </row>
    <row r="12" ht="12.75" customHeight="1">
      <c r="A12" s="13"/>
      <c r="C12" s="61">
        <v>0.0</v>
      </c>
      <c r="D12" s="61">
        <v>0.0</v>
      </c>
      <c r="E12" s="61">
        <v>0.0</v>
      </c>
      <c r="F12" s="61">
        <v>0.0</v>
      </c>
      <c r="G12" s="61">
        <v>0.0</v>
      </c>
      <c r="H12" s="61">
        <v>0.0</v>
      </c>
      <c r="I12" s="58">
        <f>SUM(C12:H12)</f>
        <v>0</v>
      </c>
      <c r="K12" s="61">
        <v>0.0</v>
      </c>
      <c r="L12" s="61">
        <v>0.0</v>
      </c>
      <c r="M12" s="61">
        <v>0.0</v>
      </c>
      <c r="N12" s="61">
        <v>0.0</v>
      </c>
      <c r="O12" s="61">
        <v>0.0</v>
      </c>
      <c r="P12" s="61">
        <v>0.0</v>
      </c>
      <c r="Q12" s="58">
        <f>SUM(K12:P12)</f>
        <v>0</v>
      </c>
      <c r="S12" s="61">
        <v>4.0</v>
      </c>
      <c r="T12" s="61">
        <v>4.0</v>
      </c>
      <c r="U12" s="61">
        <v>3.0</v>
      </c>
      <c r="V12" s="61">
        <v>3.0</v>
      </c>
      <c r="W12" s="61">
        <v>3.0</v>
      </c>
      <c r="X12" s="61">
        <v>1.0</v>
      </c>
      <c r="Y12" s="58">
        <f>SUM(S12:X12)</f>
        <v>18</v>
      </c>
      <c r="Z12" s="18"/>
      <c r="AA12" s="8"/>
      <c r="AC12" s="61">
        <v>3.0</v>
      </c>
      <c r="AD12" s="55">
        <f>COUNTA(AD6:AD11)</f>
        <v>4</v>
      </c>
      <c r="AE12" s="61">
        <v>4.0</v>
      </c>
      <c r="AF12" s="61">
        <v>4.0</v>
      </c>
      <c r="AG12" s="61">
        <v>4.0</v>
      </c>
      <c r="AH12" s="61">
        <v>2.0</v>
      </c>
      <c r="AI12" s="58">
        <f>SUM(AC12:AH12)</f>
        <v>21</v>
      </c>
      <c r="AK12" s="55">
        <f t="shared" ref="AK12:AM12" si="48">COUNTA(AK6:AK11)</f>
        <v>5</v>
      </c>
      <c r="AL12" s="55">
        <f t="shared" si="48"/>
        <v>4</v>
      </c>
      <c r="AM12" s="55">
        <f t="shared" si="48"/>
        <v>4</v>
      </c>
      <c r="AN12" s="61">
        <v>3.0</v>
      </c>
      <c r="AO12" s="61">
        <v>3.0</v>
      </c>
      <c r="AP12" s="61">
        <v>2.0</v>
      </c>
      <c r="AQ12" s="58">
        <f>SUM(AK12:AP12)</f>
        <v>21</v>
      </c>
      <c r="AS12" s="61">
        <v>2.0</v>
      </c>
      <c r="AT12" s="61">
        <v>5.0</v>
      </c>
      <c r="AU12" s="61">
        <v>4.0</v>
      </c>
      <c r="AV12" s="61">
        <v>3.0</v>
      </c>
      <c r="AW12" s="61">
        <v>3.0</v>
      </c>
      <c r="AX12" s="61">
        <v>2.0</v>
      </c>
      <c r="AY12" s="58">
        <f>SUM(AS12:AX12)</f>
        <v>19</v>
      </c>
      <c r="AZ12" s="8"/>
      <c r="BB12" s="61">
        <v>2.0</v>
      </c>
      <c r="BC12" s="61">
        <v>2.0</v>
      </c>
      <c r="BD12" s="61">
        <v>1.0</v>
      </c>
      <c r="BE12" s="61">
        <v>2.0</v>
      </c>
      <c r="BF12" s="61">
        <v>2.0</v>
      </c>
      <c r="BG12" s="61">
        <v>1.0</v>
      </c>
      <c r="BH12" s="58">
        <f>SUM(BB12:BG12)</f>
        <v>10</v>
      </c>
      <c r="BJ12" s="61">
        <v>1.0</v>
      </c>
      <c r="BK12" s="61">
        <v>1.0</v>
      </c>
      <c r="BL12" s="61">
        <v>1.0</v>
      </c>
      <c r="BM12" s="61">
        <v>2.0</v>
      </c>
      <c r="BN12" s="61">
        <v>1.0</v>
      </c>
      <c r="BO12" s="61">
        <v>0.0</v>
      </c>
      <c r="BP12" s="58">
        <f>SUM(BJ12:BO12)</f>
        <v>6</v>
      </c>
      <c r="BR12" s="61">
        <v>0.0</v>
      </c>
      <c r="BS12" s="61">
        <v>0.0</v>
      </c>
      <c r="BT12" s="61">
        <v>0.0</v>
      </c>
      <c r="BU12" s="61">
        <v>0.0</v>
      </c>
      <c r="BV12" s="61">
        <v>0.0</v>
      </c>
      <c r="BW12" s="61">
        <v>0.0</v>
      </c>
      <c r="BX12" s="62">
        <v>0.0</v>
      </c>
      <c r="BY12" s="22"/>
      <c r="BZ12" s="10"/>
    </row>
    <row r="13" ht="4.5" customHeight="1">
      <c r="A13" s="13"/>
      <c r="B13" s="18"/>
      <c r="C13" s="63" t="s">
        <v>6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0"/>
    </row>
    <row r="14" ht="9.75" customHeight="1">
      <c r="A14" s="13"/>
      <c r="B14" s="15" t="s">
        <v>15</v>
      </c>
      <c r="C14" s="16" t="s">
        <v>6</v>
      </c>
      <c r="D14" s="17" t="s">
        <v>7</v>
      </c>
      <c r="E14" s="17" t="s">
        <v>8</v>
      </c>
      <c r="F14" s="17" t="s">
        <v>8</v>
      </c>
      <c r="G14" s="17" t="s">
        <v>6</v>
      </c>
      <c r="H14" s="17" t="s">
        <v>6</v>
      </c>
      <c r="I14" s="16" t="s">
        <v>9</v>
      </c>
      <c r="J14" s="15" t="s">
        <v>16</v>
      </c>
      <c r="K14" s="20" t="s">
        <v>6</v>
      </c>
      <c r="L14" s="20" t="s">
        <v>7</v>
      </c>
      <c r="M14" s="17" t="s">
        <v>8</v>
      </c>
      <c r="N14" s="17" t="s">
        <v>8</v>
      </c>
      <c r="O14" s="17" t="s">
        <v>6</v>
      </c>
      <c r="P14" s="17" t="s">
        <v>6</v>
      </c>
      <c r="Q14" s="16" t="s">
        <v>9</v>
      </c>
      <c r="R14" s="15" t="s">
        <v>17</v>
      </c>
      <c r="S14" s="20" t="s">
        <v>6</v>
      </c>
      <c r="T14" s="17" t="s">
        <v>7</v>
      </c>
      <c r="U14" s="17" t="s">
        <v>8</v>
      </c>
      <c r="V14" s="17" t="s">
        <v>8</v>
      </c>
      <c r="W14" s="17" t="s">
        <v>6</v>
      </c>
      <c r="X14" s="17" t="s">
        <v>6</v>
      </c>
      <c r="Y14" s="16" t="s">
        <v>9</v>
      </c>
      <c r="Z14" s="18"/>
      <c r="AA14" s="8"/>
      <c r="AB14" s="19" t="s">
        <v>18</v>
      </c>
      <c r="AC14" s="20" t="s">
        <v>6</v>
      </c>
      <c r="AD14" s="17" t="s">
        <v>7</v>
      </c>
      <c r="AE14" s="17" t="s">
        <v>8</v>
      </c>
      <c r="AF14" s="17" t="s">
        <v>8</v>
      </c>
      <c r="AG14" s="17" t="s">
        <v>6</v>
      </c>
      <c r="AH14" s="17" t="s">
        <v>6</v>
      </c>
      <c r="AI14" s="16" t="s">
        <v>9</v>
      </c>
      <c r="AJ14" s="19" t="s">
        <v>19</v>
      </c>
      <c r="AK14" s="20" t="s">
        <v>6</v>
      </c>
      <c r="AL14" s="17" t="s">
        <v>7</v>
      </c>
      <c r="AM14" s="17" t="s">
        <v>8</v>
      </c>
      <c r="AN14" s="17" t="s">
        <v>8</v>
      </c>
      <c r="AO14" s="17" t="s">
        <v>6</v>
      </c>
      <c r="AP14" s="17" t="s">
        <v>6</v>
      </c>
      <c r="AQ14" s="16" t="s">
        <v>9</v>
      </c>
      <c r="AR14" s="19" t="s">
        <v>20</v>
      </c>
      <c r="AS14" s="20" t="s">
        <v>6</v>
      </c>
      <c r="AT14" s="17" t="s">
        <v>7</v>
      </c>
      <c r="AU14" s="17" t="s">
        <v>8</v>
      </c>
      <c r="AV14" s="17" t="s">
        <v>8</v>
      </c>
      <c r="AW14" s="17" t="s">
        <v>6</v>
      </c>
      <c r="AX14" s="17" t="s">
        <v>6</v>
      </c>
      <c r="AY14" s="16" t="s">
        <v>9</v>
      </c>
      <c r="AZ14" s="8"/>
      <c r="BA14" s="15" t="s">
        <v>15</v>
      </c>
      <c r="BB14" s="16" t="s">
        <v>6</v>
      </c>
      <c r="BC14" s="17" t="s">
        <v>7</v>
      </c>
      <c r="BD14" s="17" t="s">
        <v>8</v>
      </c>
      <c r="BE14" s="17" t="s">
        <v>8</v>
      </c>
      <c r="BF14" s="17" t="s">
        <v>6</v>
      </c>
      <c r="BG14" s="17" t="s">
        <v>6</v>
      </c>
      <c r="BH14" s="16" t="s">
        <v>9</v>
      </c>
      <c r="BI14" s="15" t="s">
        <v>16</v>
      </c>
      <c r="BJ14" s="20" t="s">
        <v>6</v>
      </c>
      <c r="BK14" s="20" t="s">
        <v>7</v>
      </c>
      <c r="BL14" s="17" t="s">
        <v>8</v>
      </c>
      <c r="BM14" s="17" t="s">
        <v>8</v>
      </c>
      <c r="BN14" s="17" t="s">
        <v>6</v>
      </c>
      <c r="BO14" s="17" t="s">
        <v>6</v>
      </c>
      <c r="BP14" s="16" t="s">
        <v>9</v>
      </c>
      <c r="BQ14" s="15" t="s">
        <v>17</v>
      </c>
      <c r="BR14" s="20" t="s">
        <v>6</v>
      </c>
      <c r="BS14" s="17" t="s">
        <v>7</v>
      </c>
      <c r="BT14" s="17" t="s">
        <v>8</v>
      </c>
      <c r="BU14" s="17" t="s">
        <v>8</v>
      </c>
      <c r="BV14" s="17" t="s">
        <v>6</v>
      </c>
      <c r="BW14" s="17" t="s">
        <v>6</v>
      </c>
      <c r="BX14" s="16" t="s">
        <v>9</v>
      </c>
      <c r="BY14" s="60"/>
      <c r="BZ14" s="10"/>
    </row>
    <row r="15" ht="9.75" customHeight="1">
      <c r="A15" s="13"/>
      <c r="C15" s="27"/>
      <c r="D15" s="27"/>
      <c r="E15" s="36">
        <v>1.0</v>
      </c>
      <c r="F15" s="36">
        <f t="shared" ref="F15:I15" si="49">E15+1</f>
        <v>2</v>
      </c>
      <c r="G15" s="24">
        <f t="shared" si="49"/>
        <v>3</v>
      </c>
      <c r="H15" s="26">
        <f t="shared" si="49"/>
        <v>4</v>
      </c>
      <c r="I15" s="26">
        <f t="shared" si="49"/>
        <v>5</v>
      </c>
      <c r="K15" s="27"/>
      <c r="L15" s="27"/>
      <c r="M15" s="27"/>
      <c r="N15" s="27"/>
      <c r="O15" s="24">
        <v>1.0</v>
      </c>
      <c r="P15" s="26">
        <f t="shared" ref="P15:Q15" si="50">O15+1</f>
        <v>2</v>
      </c>
      <c r="Q15" s="26">
        <f t="shared" si="50"/>
        <v>3</v>
      </c>
      <c r="S15" s="36">
        <v>1.0</v>
      </c>
      <c r="T15" s="41">
        <f t="shared" ref="T15:Y15" si="51">S15+1</f>
        <v>2</v>
      </c>
      <c r="U15" s="36">
        <f t="shared" si="51"/>
        <v>3</v>
      </c>
      <c r="V15" s="24">
        <f t="shared" si="51"/>
        <v>4</v>
      </c>
      <c r="W15" s="26">
        <f t="shared" si="51"/>
        <v>5</v>
      </c>
      <c r="X15" s="26">
        <f t="shared" si="51"/>
        <v>6</v>
      </c>
      <c r="Y15" s="26">
        <f t="shared" si="51"/>
        <v>7</v>
      </c>
      <c r="Z15" s="18"/>
      <c r="AA15" s="8"/>
      <c r="AC15" s="27"/>
      <c r="AD15" s="27"/>
      <c r="AE15" s="27"/>
      <c r="AF15" s="64">
        <v>1.0</v>
      </c>
      <c r="AG15" s="64">
        <f t="shared" ref="AG15:AI15" si="52">AF15+1</f>
        <v>2</v>
      </c>
      <c r="AH15" s="26">
        <f t="shared" si="52"/>
        <v>3</v>
      </c>
      <c r="AI15" s="26">
        <f t="shared" si="52"/>
        <v>4</v>
      </c>
      <c r="AK15" s="27"/>
      <c r="AL15" s="27"/>
      <c r="AM15" s="27"/>
      <c r="AN15" s="27"/>
      <c r="AO15" s="27"/>
      <c r="AP15" s="27"/>
      <c r="AQ15" s="26">
        <f>AP15+1</f>
        <v>1</v>
      </c>
      <c r="AS15" s="36"/>
      <c r="AT15" s="36">
        <v>1.0</v>
      </c>
      <c r="AU15" s="38">
        <f t="shared" ref="AU15:AY15" si="53">AT15+1</f>
        <v>2</v>
      </c>
      <c r="AV15" s="28">
        <f t="shared" si="53"/>
        <v>3</v>
      </c>
      <c r="AW15" s="36">
        <f t="shared" si="53"/>
        <v>4</v>
      </c>
      <c r="AX15" s="26">
        <f t="shared" si="53"/>
        <v>5</v>
      </c>
      <c r="AY15" s="26">
        <f t="shared" si="53"/>
        <v>6</v>
      </c>
      <c r="AZ15" s="8"/>
      <c r="BB15" s="27"/>
      <c r="BC15" s="27"/>
      <c r="BD15" s="36"/>
      <c r="BE15" s="26">
        <f t="shared" ref="BE15:BH15" si="54">BD15+1</f>
        <v>1</v>
      </c>
      <c r="BF15" s="26">
        <f t="shared" si="54"/>
        <v>2</v>
      </c>
      <c r="BG15" s="26">
        <f t="shared" si="54"/>
        <v>3</v>
      </c>
      <c r="BH15" s="26">
        <f t="shared" si="54"/>
        <v>4</v>
      </c>
      <c r="BJ15" s="27"/>
      <c r="BK15" s="27"/>
      <c r="BL15" s="27"/>
      <c r="BM15" s="27"/>
      <c r="BN15" s="36"/>
      <c r="BO15" s="24">
        <v>1.0</v>
      </c>
      <c r="BP15" s="26">
        <f>BO15+1</f>
        <v>2</v>
      </c>
      <c r="BR15" s="36"/>
      <c r="BS15" s="26">
        <v>1.0</v>
      </c>
      <c r="BT15" s="26">
        <f t="shared" ref="BT15:BX15" si="55">BS15+1</f>
        <v>2</v>
      </c>
      <c r="BU15" s="26">
        <f t="shared" si="55"/>
        <v>3</v>
      </c>
      <c r="BV15" s="26">
        <f t="shared" si="55"/>
        <v>4</v>
      </c>
      <c r="BW15" s="26">
        <f t="shared" si="55"/>
        <v>5</v>
      </c>
      <c r="BX15" s="26">
        <f t="shared" si="55"/>
        <v>6</v>
      </c>
      <c r="BY15" s="22"/>
      <c r="BZ15" s="10"/>
    </row>
    <row r="16" ht="9.75" customHeight="1">
      <c r="A16" s="13"/>
      <c r="C16" s="41">
        <v>6.0</v>
      </c>
      <c r="D16" s="41">
        <f t="shared" ref="D16:I16" si="56">D15+7</f>
        <v>7</v>
      </c>
      <c r="E16" s="36">
        <f t="shared" si="56"/>
        <v>8</v>
      </c>
      <c r="F16" s="38">
        <f t="shared" si="56"/>
        <v>9</v>
      </c>
      <c r="G16" s="36">
        <f t="shared" si="56"/>
        <v>10</v>
      </c>
      <c r="H16" s="41">
        <f t="shared" si="56"/>
        <v>11</v>
      </c>
      <c r="I16" s="26">
        <f t="shared" si="56"/>
        <v>12</v>
      </c>
      <c r="K16" s="28">
        <f>Q15+1</f>
        <v>4</v>
      </c>
      <c r="L16" s="28">
        <f t="shared" ref="L16:O16" si="57">K16+1</f>
        <v>5</v>
      </c>
      <c r="M16" s="38">
        <f t="shared" si="57"/>
        <v>6</v>
      </c>
      <c r="N16" s="36">
        <f t="shared" si="57"/>
        <v>7</v>
      </c>
      <c r="O16" s="36">
        <f t="shared" si="57"/>
        <v>8</v>
      </c>
      <c r="P16" s="26">
        <f>P15+7</f>
        <v>9</v>
      </c>
      <c r="Q16" s="26">
        <f>P16+1</f>
        <v>10</v>
      </c>
      <c r="S16" s="36">
        <f>Y15+1</f>
        <v>8</v>
      </c>
      <c r="T16" s="36">
        <f t="shared" ref="T16:Y16" si="58">S16+1</f>
        <v>9</v>
      </c>
      <c r="U16" s="36">
        <f t="shared" si="58"/>
        <v>10</v>
      </c>
      <c r="V16" s="24">
        <f t="shared" si="58"/>
        <v>11</v>
      </c>
      <c r="W16" s="26">
        <f t="shared" si="58"/>
        <v>12</v>
      </c>
      <c r="X16" s="26">
        <f t="shared" si="58"/>
        <v>13</v>
      </c>
      <c r="Y16" s="26">
        <f t="shared" si="58"/>
        <v>14</v>
      </c>
      <c r="Z16" s="18"/>
      <c r="AA16" s="8"/>
      <c r="AC16" s="28">
        <v>5.0</v>
      </c>
      <c r="AD16" s="28">
        <v>6.0</v>
      </c>
      <c r="AE16" s="28">
        <f t="shared" ref="AE16:AI16" si="59">AE15+7</f>
        <v>7</v>
      </c>
      <c r="AF16" s="28">
        <f t="shared" si="59"/>
        <v>8</v>
      </c>
      <c r="AG16" s="28">
        <f t="shared" si="59"/>
        <v>9</v>
      </c>
      <c r="AH16" s="26">
        <f t="shared" si="59"/>
        <v>10</v>
      </c>
      <c r="AI16" s="26">
        <f t="shared" si="59"/>
        <v>11</v>
      </c>
      <c r="AK16" s="24">
        <v>2.0</v>
      </c>
      <c r="AL16" s="40">
        <f t="shared" ref="AL16:AQ16" si="60">AK16+1</f>
        <v>3</v>
      </c>
      <c r="AM16" s="40">
        <f t="shared" si="60"/>
        <v>4</v>
      </c>
      <c r="AN16" s="40">
        <f t="shared" si="60"/>
        <v>5</v>
      </c>
      <c r="AO16" s="36">
        <f t="shared" si="60"/>
        <v>6</v>
      </c>
      <c r="AP16" s="26">
        <f t="shared" si="60"/>
        <v>7</v>
      </c>
      <c r="AQ16" s="26">
        <f t="shared" si="60"/>
        <v>8</v>
      </c>
      <c r="AS16" s="36">
        <f t="shared" ref="AS16:AT16" si="61">AS15+7</f>
        <v>7</v>
      </c>
      <c r="AT16" s="36">
        <f t="shared" si="61"/>
        <v>8</v>
      </c>
      <c r="AU16" s="67">
        <v>9.0</v>
      </c>
      <c r="AV16" s="36">
        <f t="shared" ref="AV16:AY16" si="62">AV15+7</f>
        <v>10</v>
      </c>
      <c r="AW16" s="36">
        <f t="shared" si="62"/>
        <v>11</v>
      </c>
      <c r="AX16" s="26">
        <f t="shared" si="62"/>
        <v>12</v>
      </c>
      <c r="AY16" s="26">
        <f t="shared" si="62"/>
        <v>13</v>
      </c>
      <c r="AZ16" s="8"/>
      <c r="BB16" s="26">
        <v>6.0</v>
      </c>
      <c r="BC16" s="26">
        <f t="shared" ref="BC16:BH16" si="63">BC15+7</f>
        <v>7</v>
      </c>
      <c r="BD16" s="26">
        <f t="shared" si="63"/>
        <v>7</v>
      </c>
      <c r="BE16" s="26">
        <f t="shared" si="63"/>
        <v>8</v>
      </c>
      <c r="BF16" s="26">
        <f t="shared" si="63"/>
        <v>9</v>
      </c>
      <c r="BG16" s="26">
        <f t="shared" si="63"/>
        <v>10</v>
      </c>
      <c r="BH16" s="26">
        <f t="shared" si="63"/>
        <v>11</v>
      </c>
      <c r="BJ16" s="26">
        <f>BP15+1</f>
        <v>3</v>
      </c>
      <c r="BK16" s="26">
        <f t="shared" ref="BK16:BP16" si="64">BJ16+1</f>
        <v>4</v>
      </c>
      <c r="BL16" s="26">
        <f t="shared" si="64"/>
        <v>5</v>
      </c>
      <c r="BM16" s="26">
        <f t="shared" si="64"/>
        <v>6</v>
      </c>
      <c r="BN16" s="26">
        <f t="shared" si="64"/>
        <v>7</v>
      </c>
      <c r="BO16" s="26">
        <f t="shared" si="64"/>
        <v>8</v>
      </c>
      <c r="BP16" s="26">
        <f t="shared" si="64"/>
        <v>9</v>
      </c>
      <c r="BR16" s="26">
        <f>BX15+1</f>
        <v>7</v>
      </c>
      <c r="BS16" s="26">
        <f t="shared" ref="BS16:BX16" si="65">BR16+1</f>
        <v>8</v>
      </c>
      <c r="BT16" s="26">
        <f t="shared" si="65"/>
        <v>9</v>
      </c>
      <c r="BU16" s="26">
        <f t="shared" si="65"/>
        <v>10</v>
      </c>
      <c r="BV16" s="24">
        <f t="shared" si="65"/>
        <v>11</v>
      </c>
      <c r="BW16" s="26">
        <f t="shared" si="65"/>
        <v>12</v>
      </c>
      <c r="BX16" s="26">
        <f t="shared" si="65"/>
        <v>13</v>
      </c>
      <c r="BY16" s="22"/>
      <c r="BZ16" s="10"/>
    </row>
    <row r="17" ht="9.75" customHeight="1">
      <c r="A17" s="13"/>
      <c r="C17" s="36">
        <f t="shared" ref="C17:C19" si="76">C16+7</f>
        <v>13</v>
      </c>
      <c r="D17" s="68">
        <f t="shared" ref="D17:E17" si="66">D16+7</f>
        <v>14</v>
      </c>
      <c r="E17" s="68">
        <f t="shared" si="66"/>
        <v>15</v>
      </c>
      <c r="F17" s="36">
        <f t="shared" ref="F17:I17" si="67">F16+7</f>
        <v>16</v>
      </c>
      <c r="G17" s="36">
        <f t="shared" si="67"/>
        <v>17</v>
      </c>
      <c r="H17" s="26">
        <f t="shared" si="67"/>
        <v>18</v>
      </c>
      <c r="I17" s="26">
        <f t="shared" si="67"/>
        <v>19</v>
      </c>
      <c r="K17" s="36">
        <f t="shared" ref="K17:Q17" si="68">K16+7</f>
        <v>11</v>
      </c>
      <c r="L17" s="36">
        <f t="shared" si="68"/>
        <v>12</v>
      </c>
      <c r="M17" s="36">
        <f t="shared" si="68"/>
        <v>13</v>
      </c>
      <c r="N17" s="36">
        <f t="shared" si="68"/>
        <v>14</v>
      </c>
      <c r="O17" s="36">
        <f t="shared" si="68"/>
        <v>15</v>
      </c>
      <c r="P17" s="41">
        <f t="shared" si="68"/>
        <v>16</v>
      </c>
      <c r="Q17" s="26">
        <f t="shared" si="68"/>
        <v>17</v>
      </c>
      <c r="S17" s="36">
        <f t="shared" ref="S17:Y17" si="69">S16+7</f>
        <v>15</v>
      </c>
      <c r="T17" s="44">
        <f t="shared" si="69"/>
        <v>16</v>
      </c>
      <c r="U17" s="69">
        <f t="shared" si="69"/>
        <v>17</v>
      </c>
      <c r="V17" s="25">
        <f t="shared" si="69"/>
        <v>18</v>
      </c>
      <c r="W17" s="25">
        <f t="shared" si="69"/>
        <v>19</v>
      </c>
      <c r="X17" s="25">
        <f t="shared" si="69"/>
        <v>20</v>
      </c>
      <c r="Y17" s="25">
        <f t="shared" si="69"/>
        <v>21</v>
      </c>
      <c r="Z17" s="18"/>
      <c r="AA17" s="8"/>
      <c r="AC17" s="24">
        <f t="shared" ref="AC17:AI17" si="70">AC16+7</f>
        <v>12</v>
      </c>
      <c r="AD17" s="41">
        <f t="shared" si="70"/>
        <v>13</v>
      </c>
      <c r="AE17" s="28">
        <f t="shared" si="70"/>
        <v>14</v>
      </c>
      <c r="AF17" s="28">
        <f t="shared" si="70"/>
        <v>15</v>
      </c>
      <c r="AG17" s="28">
        <f t="shared" si="70"/>
        <v>16</v>
      </c>
      <c r="AH17" s="28">
        <f t="shared" si="70"/>
        <v>17</v>
      </c>
      <c r="AI17" s="26">
        <f t="shared" si="70"/>
        <v>18</v>
      </c>
      <c r="AK17" s="36">
        <f t="shared" ref="AK17:AQ17" si="71">AK16+7</f>
        <v>9</v>
      </c>
      <c r="AL17" s="36">
        <f t="shared" si="71"/>
        <v>10</v>
      </c>
      <c r="AM17" s="36">
        <f t="shared" si="71"/>
        <v>11</v>
      </c>
      <c r="AN17" s="36">
        <f t="shared" si="71"/>
        <v>12</v>
      </c>
      <c r="AO17" s="50">
        <f t="shared" si="71"/>
        <v>13</v>
      </c>
      <c r="AP17" s="41">
        <f t="shared" si="71"/>
        <v>14</v>
      </c>
      <c r="AQ17" s="24">
        <f t="shared" si="71"/>
        <v>15</v>
      </c>
      <c r="AS17" s="36">
        <f t="shared" ref="AS17:AY17" si="72">AS16+7</f>
        <v>14</v>
      </c>
      <c r="AT17" s="36">
        <f t="shared" si="72"/>
        <v>15</v>
      </c>
      <c r="AU17" s="36">
        <f t="shared" si="72"/>
        <v>16</v>
      </c>
      <c r="AV17" s="36">
        <f t="shared" si="72"/>
        <v>17</v>
      </c>
      <c r="AW17" s="36">
        <f t="shared" si="72"/>
        <v>18</v>
      </c>
      <c r="AX17" s="26">
        <f t="shared" si="72"/>
        <v>19</v>
      </c>
      <c r="AY17" s="26">
        <f t="shared" si="72"/>
        <v>20</v>
      </c>
      <c r="AZ17" s="8"/>
      <c r="BB17" s="26">
        <f t="shared" ref="BB17:BH17" si="73">BB16+7</f>
        <v>13</v>
      </c>
      <c r="BC17" s="26">
        <f t="shared" si="73"/>
        <v>14</v>
      </c>
      <c r="BD17" s="26">
        <f t="shared" si="73"/>
        <v>14</v>
      </c>
      <c r="BE17" s="26">
        <f t="shared" si="73"/>
        <v>15</v>
      </c>
      <c r="BF17" s="26">
        <f t="shared" si="73"/>
        <v>16</v>
      </c>
      <c r="BG17" s="26">
        <f t="shared" si="73"/>
        <v>17</v>
      </c>
      <c r="BH17" s="26">
        <f t="shared" si="73"/>
        <v>18</v>
      </c>
      <c r="BJ17" s="26">
        <f t="shared" ref="BJ17:BP17" si="74">BJ16+7</f>
        <v>10</v>
      </c>
      <c r="BK17" s="26">
        <f t="shared" si="74"/>
        <v>11</v>
      </c>
      <c r="BL17" s="26">
        <f t="shared" si="74"/>
        <v>12</v>
      </c>
      <c r="BM17" s="26">
        <f t="shared" si="74"/>
        <v>13</v>
      </c>
      <c r="BN17" s="26">
        <f t="shared" si="74"/>
        <v>14</v>
      </c>
      <c r="BO17" s="26">
        <f t="shared" si="74"/>
        <v>15</v>
      </c>
      <c r="BP17" s="26">
        <f t="shared" si="74"/>
        <v>16</v>
      </c>
      <c r="BR17" s="26">
        <f t="shared" ref="BR17:BX17" si="75">BR16+7</f>
        <v>14</v>
      </c>
      <c r="BS17" s="26">
        <f t="shared" si="75"/>
        <v>15</v>
      </c>
      <c r="BT17" s="26">
        <f t="shared" si="75"/>
        <v>16</v>
      </c>
      <c r="BU17" s="26">
        <f t="shared" si="75"/>
        <v>17</v>
      </c>
      <c r="BV17" s="26">
        <f t="shared" si="75"/>
        <v>18</v>
      </c>
      <c r="BW17" s="26">
        <f t="shared" si="75"/>
        <v>19</v>
      </c>
      <c r="BX17" s="26">
        <f t="shared" si="75"/>
        <v>20</v>
      </c>
      <c r="BY17" s="22"/>
      <c r="BZ17" s="10"/>
    </row>
    <row r="18" ht="9.75" customHeight="1">
      <c r="A18" s="13"/>
      <c r="C18" s="26">
        <f t="shared" si="76"/>
        <v>20</v>
      </c>
      <c r="D18" s="24">
        <f t="shared" ref="D18:I18" si="77">D17+7</f>
        <v>21</v>
      </c>
      <c r="E18" s="36">
        <f t="shared" si="77"/>
        <v>22</v>
      </c>
      <c r="F18" s="36">
        <f t="shared" si="77"/>
        <v>23</v>
      </c>
      <c r="G18" s="36">
        <f t="shared" si="77"/>
        <v>24</v>
      </c>
      <c r="H18" s="41">
        <f t="shared" si="77"/>
        <v>25</v>
      </c>
      <c r="I18" s="26">
        <f t="shared" si="77"/>
        <v>26</v>
      </c>
      <c r="K18" s="36">
        <f t="shared" ref="K18:Q18" si="78">K17+7</f>
        <v>18</v>
      </c>
      <c r="L18" s="36">
        <f t="shared" si="78"/>
        <v>19</v>
      </c>
      <c r="M18" s="36">
        <f t="shared" si="78"/>
        <v>20</v>
      </c>
      <c r="N18" s="36">
        <f t="shared" si="78"/>
        <v>21</v>
      </c>
      <c r="O18" s="36">
        <f t="shared" si="78"/>
        <v>22</v>
      </c>
      <c r="P18" s="26">
        <f t="shared" si="78"/>
        <v>23</v>
      </c>
      <c r="Q18" s="26">
        <f t="shared" si="78"/>
        <v>24</v>
      </c>
      <c r="S18" s="25">
        <f t="shared" ref="S18:Y18" si="79">S17+7</f>
        <v>22</v>
      </c>
      <c r="T18" s="25">
        <f t="shared" si="79"/>
        <v>23</v>
      </c>
      <c r="U18" s="24">
        <f t="shared" si="79"/>
        <v>24</v>
      </c>
      <c r="V18" s="25">
        <f t="shared" si="79"/>
        <v>25</v>
      </c>
      <c r="W18" s="25">
        <f t="shared" si="79"/>
        <v>26</v>
      </c>
      <c r="X18" s="25">
        <f t="shared" si="79"/>
        <v>27</v>
      </c>
      <c r="Y18" s="25">
        <f t="shared" si="79"/>
        <v>28</v>
      </c>
      <c r="Z18" s="18"/>
      <c r="AA18" s="8"/>
      <c r="AC18" s="36">
        <f t="shared" ref="AC18:AI18" si="80">AC17+7</f>
        <v>19</v>
      </c>
      <c r="AD18" s="69">
        <f t="shared" si="80"/>
        <v>20</v>
      </c>
      <c r="AE18" s="37">
        <f t="shared" si="80"/>
        <v>21</v>
      </c>
      <c r="AF18" s="36">
        <f t="shared" si="80"/>
        <v>22</v>
      </c>
      <c r="AG18" s="36">
        <f t="shared" si="80"/>
        <v>23</v>
      </c>
      <c r="AH18" s="41">
        <f t="shared" si="80"/>
        <v>24</v>
      </c>
      <c r="AI18" s="26">
        <f t="shared" si="80"/>
        <v>25</v>
      </c>
      <c r="AK18" s="36">
        <f t="shared" ref="AK18:AQ18" si="81">AK17+7</f>
        <v>16</v>
      </c>
      <c r="AL18" s="36">
        <f t="shared" si="81"/>
        <v>17</v>
      </c>
      <c r="AM18" s="44">
        <f t="shared" si="81"/>
        <v>18</v>
      </c>
      <c r="AN18" s="44">
        <f t="shared" si="81"/>
        <v>19</v>
      </c>
      <c r="AO18" s="24">
        <f t="shared" si="81"/>
        <v>20</v>
      </c>
      <c r="AP18" s="26">
        <f t="shared" si="81"/>
        <v>21</v>
      </c>
      <c r="AQ18" s="26">
        <f t="shared" si="81"/>
        <v>22</v>
      </c>
      <c r="AS18" s="36">
        <f t="shared" ref="AS18:AY18" si="82">AS17+7</f>
        <v>21</v>
      </c>
      <c r="AT18" s="36">
        <f t="shared" si="82"/>
        <v>22</v>
      </c>
      <c r="AU18" s="26">
        <f t="shared" si="82"/>
        <v>23</v>
      </c>
      <c r="AV18" s="26">
        <f t="shared" si="82"/>
        <v>24</v>
      </c>
      <c r="AW18" s="24">
        <f t="shared" si="82"/>
        <v>25</v>
      </c>
      <c r="AX18" s="26">
        <f t="shared" si="82"/>
        <v>26</v>
      </c>
      <c r="AY18" s="26">
        <f t="shared" si="82"/>
        <v>27</v>
      </c>
      <c r="AZ18" s="8"/>
      <c r="BB18" s="26">
        <v>20.0</v>
      </c>
      <c r="BC18" s="26">
        <f t="shared" ref="BC18:BH18" si="83">BC17+7</f>
        <v>21</v>
      </c>
      <c r="BD18" s="24">
        <f t="shared" si="83"/>
        <v>21</v>
      </c>
      <c r="BE18" s="26">
        <f t="shared" si="83"/>
        <v>22</v>
      </c>
      <c r="BF18" s="26">
        <f t="shared" si="83"/>
        <v>23</v>
      </c>
      <c r="BG18" s="26">
        <f t="shared" si="83"/>
        <v>24</v>
      </c>
      <c r="BH18" s="26">
        <f t="shared" si="83"/>
        <v>25</v>
      </c>
      <c r="BJ18" s="26">
        <f t="shared" ref="BJ18:BP18" si="84">BJ17+7</f>
        <v>17</v>
      </c>
      <c r="BK18" s="26">
        <f t="shared" si="84"/>
        <v>18</v>
      </c>
      <c r="BL18" s="26">
        <f t="shared" si="84"/>
        <v>19</v>
      </c>
      <c r="BM18" s="26">
        <f t="shared" si="84"/>
        <v>20</v>
      </c>
      <c r="BN18" s="26">
        <f t="shared" si="84"/>
        <v>21</v>
      </c>
      <c r="BO18" s="26">
        <f t="shared" si="84"/>
        <v>22</v>
      </c>
      <c r="BP18" s="26">
        <f t="shared" si="84"/>
        <v>23</v>
      </c>
      <c r="BR18" s="26">
        <f t="shared" ref="BR18:BX18" si="85">BR17+7</f>
        <v>21</v>
      </c>
      <c r="BS18" s="26">
        <f t="shared" si="85"/>
        <v>22</v>
      </c>
      <c r="BT18" s="26">
        <f t="shared" si="85"/>
        <v>23</v>
      </c>
      <c r="BU18" s="24">
        <f t="shared" si="85"/>
        <v>24</v>
      </c>
      <c r="BV18" s="26">
        <f t="shared" si="85"/>
        <v>25</v>
      </c>
      <c r="BW18" s="26">
        <f t="shared" si="85"/>
        <v>26</v>
      </c>
      <c r="BX18" s="26">
        <f t="shared" si="85"/>
        <v>27</v>
      </c>
      <c r="BY18" s="22"/>
      <c r="BZ18" s="10"/>
    </row>
    <row r="19" ht="9.75" customHeight="1">
      <c r="A19" s="13"/>
      <c r="C19" s="36">
        <f t="shared" si="76"/>
        <v>27</v>
      </c>
      <c r="D19" s="36">
        <f t="shared" ref="D19:F19" si="86">D18+7</f>
        <v>28</v>
      </c>
      <c r="E19" s="36">
        <f t="shared" si="86"/>
        <v>29</v>
      </c>
      <c r="F19" s="36">
        <f t="shared" si="86"/>
        <v>30</v>
      </c>
      <c r="G19" s="27"/>
      <c r="H19" s="27"/>
      <c r="I19" s="27"/>
      <c r="K19" s="44">
        <f t="shared" ref="K19:Q19" si="87">K18+7</f>
        <v>25</v>
      </c>
      <c r="L19" s="44">
        <f t="shared" si="87"/>
        <v>26</v>
      </c>
      <c r="M19" s="44">
        <f t="shared" si="87"/>
        <v>27</v>
      </c>
      <c r="N19" s="36">
        <f t="shared" si="87"/>
        <v>28</v>
      </c>
      <c r="O19" s="41">
        <f t="shared" si="87"/>
        <v>29</v>
      </c>
      <c r="P19" s="41">
        <f t="shared" si="87"/>
        <v>30</v>
      </c>
      <c r="Q19" s="26">
        <f t="shared" si="87"/>
        <v>31</v>
      </c>
      <c r="S19" s="25">
        <f t="shared" ref="S19:T19" si="88">S18+7</f>
        <v>29</v>
      </c>
      <c r="T19" s="25">
        <f t="shared" si="88"/>
        <v>30</v>
      </c>
      <c r="U19" s="36"/>
      <c r="V19" s="36"/>
      <c r="W19" s="36"/>
      <c r="X19" s="36"/>
      <c r="Y19" s="36"/>
      <c r="Z19" s="18"/>
      <c r="AA19" s="8"/>
      <c r="AC19" s="36">
        <f t="shared" ref="AC19:AH19" si="89">AC18+7</f>
        <v>26</v>
      </c>
      <c r="AD19" s="36">
        <f t="shared" si="89"/>
        <v>27</v>
      </c>
      <c r="AE19" s="44">
        <f t="shared" si="89"/>
        <v>28</v>
      </c>
      <c r="AF19" s="44">
        <f t="shared" si="89"/>
        <v>29</v>
      </c>
      <c r="AG19" s="24">
        <f t="shared" si="89"/>
        <v>30</v>
      </c>
      <c r="AH19" s="26">
        <f t="shared" si="89"/>
        <v>31</v>
      </c>
      <c r="AI19" s="27"/>
      <c r="AK19" s="36">
        <f t="shared" ref="AK19:AQ19" si="90">AK18+7</f>
        <v>23</v>
      </c>
      <c r="AL19" s="36">
        <f t="shared" si="90"/>
        <v>24</v>
      </c>
      <c r="AM19" s="36">
        <f t="shared" si="90"/>
        <v>25</v>
      </c>
      <c r="AN19" s="36">
        <f t="shared" si="90"/>
        <v>26</v>
      </c>
      <c r="AO19" s="36">
        <f t="shared" si="90"/>
        <v>27</v>
      </c>
      <c r="AP19" s="41">
        <f t="shared" si="90"/>
        <v>28</v>
      </c>
      <c r="AQ19" s="26">
        <f t="shared" si="90"/>
        <v>29</v>
      </c>
      <c r="AS19" s="26">
        <f t="shared" ref="AS19:AV19" si="91">AS18+7</f>
        <v>28</v>
      </c>
      <c r="AT19" s="26">
        <f t="shared" si="91"/>
        <v>29</v>
      </c>
      <c r="AU19" s="26">
        <f t="shared" si="91"/>
        <v>30</v>
      </c>
      <c r="AV19" s="26">
        <f t="shared" si="91"/>
        <v>31</v>
      </c>
      <c r="AW19" s="27"/>
      <c r="AX19" s="27"/>
      <c r="AY19" s="27"/>
      <c r="AZ19" s="8"/>
      <c r="BB19" s="26">
        <f t="shared" ref="BB19:BF19" si="92">BB18+7</f>
        <v>27</v>
      </c>
      <c r="BC19" s="26">
        <f t="shared" si="92"/>
        <v>28</v>
      </c>
      <c r="BD19" s="26">
        <f t="shared" si="92"/>
        <v>28</v>
      </c>
      <c r="BE19" s="26">
        <f t="shared" si="92"/>
        <v>29</v>
      </c>
      <c r="BF19" s="26">
        <f t="shared" si="92"/>
        <v>30</v>
      </c>
      <c r="BG19" s="27"/>
      <c r="BH19" s="27"/>
      <c r="BJ19" s="26">
        <f t="shared" ref="BJ19:BP19" si="93">BJ18+7</f>
        <v>24</v>
      </c>
      <c r="BK19" s="26">
        <f t="shared" si="93"/>
        <v>25</v>
      </c>
      <c r="BL19" s="26">
        <f t="shared" si="93"/>
        <v>26</v>
      </c>
      <c r="BM19" s="24">
        <f t="shared" si="93"/>
        <v>27</v>
      </c>
      <c r="BN19" s="26">
        <f t="shared" si="93"/>
        <v>28</v>
      </c>
      <c r="BO19" s="26">
        <f t="shared" si="93"/>
        <v>29</v>
      </c>
      <c r="BP19" s="26">
        <f t="shared" si="93"/>
        <v>30</v>
      </c>
      <c r="BR19" s="26">
        <f t="shared" ref="BR19:BT19" si="94">BR18+7</f>
        <v>28</v>
      </c>
      <c r="BS19" s="26">
        <f t="shared" si="94"/>
        <v>29</v>
      </c>
      <c r="BT19" s="26">
        <f t="shared" si="94"/>
        <v>30</v>
      </c>
      <c r="BU19" s="27"/>
      <c r="BV19" s="27"/>
      <c r="BW19" s="27"/>
      <c r="BX19" s="23"/>
      <c r="BY19" s="22"/>
      <c r="BZ19" s="10"/>
    </row>
    <row r="20" ht="9.75" customHeight="1">
      <c r="A20" s="13"/>
      <c r="C20" s="93"/>
      <c r="D20" s="93"/>
      <c r="E20" s="93"/>
      <c r="F20" s="93"/>
      <c r="G20" s="93"/>
      <c r="H20" s="93"/>
      <c r="I20" s="27"/>
      <c r="K20" s="93"/>
      <c r="L20" s="93"/>
      <c r="M20" s="93"/>
      <c r="N20" s="93"/>
      <c r="O20" s="93"/>
      <c r="P20" s="93"/>
      <c r="Q20" s="27"/>
      <c r="S20" s="36"/>
      <c r="T20" s="27"/>
      <c r="U20" s="93"/>
      <c r="V20" s="93"/>
      <c r="W20" s="93"/>
      <c r="X20" s="93"/>
      <c r="Y20" s="27"/>
      <c r="Z20" s="18"/>
      <c r="AA20" s="8"/>
      <c r="AC20" s="27"/>
      <c r="AD20" s="27"/>
      <c r="AE20" s="27"/>
      <c r="AF20" s="27"/>
      <c r="AG20" s="27"/>
      <c r="AH20" s="27"/>
      <c r="AI20" s="27"/>
      <c r="AK20" s="36">
        <f>AK19+7</f>
        <v>30</v>
      </c>
      <c r="AL20" s="36"/>
      <c r="AM20" s="93"/>
      <c r="AN20" s="93"/>
      <c r="AO20" s="93"/>
      <c r="AP20" s="93"/>
      <c r="AQ20" s="93"/>
      <c r="AS20" s="97"/>
      <c r="AT20" s="97"/>
      <c r="AU20" s="97"/>
      <c r="AV20" s="97"/>
      <c r="AW20" s="97"/>
      <c r="AX20" s="93"/>
      <c r="AY20" s="93"/>
      <c r="AZ20" s="8"/>
      <c r="BB20" s="93"/>
      <c r="BC20" s="93"/>
      <c r="BD20" s="93"/>
      <c r="BE20" s="93"/>
      <c r="BF20" s="93"/>
      <c r="BG20" s="93"/>
      <c r="BH20" s="27"/>
      <c r="BJ20" s="26">
        <f>BJ19+7</f>
        <v>31</v>
      </c>
      <c r="BK20" s="93"/>
      <c r="BL20" s="93"/>
      <c r="BM20" s="93"/>
      <c r="BN20" s="93"/>
      <c r="BO20" s="93"/>
      <c r="BP20" s="27"/>
      <c r="BR20" s="27"/>
      <c r="BS20" s="27"/>
      <c r="BT20" s="93"/>
      <c r="BU20" s="93"/>
      <c r="BV20" s="93"/>
      <c r="BW20" s="93"/>
      <c r="BX20" s="23"/>
      <c r="BY20" s="22"/>
      <c r="BZ20" s="10"/>
    </row>
    <row r="21" ht="12.75" customHeight="1">
      <c r="A21" s="13"/>
      <c r="C21" s="61">
        <v>3.0</v>
      </c>
      <c r="D21" s="61">
        <v>3.0</v>
      </c>
      <c r="E21" s="55">
        <f t="shared" ref="E21:F21" si="95">COUNTA(E15:E20)</f>
        <v>5</v>
      </c>
      <c r="F21" s="55">
        <f t="shared" si="95"/>
        <v>5</v>
      </c>
      <c r="G21" s="61">
        <v>3.0</v>
      </c>
      <c r="H21" s="61">
        <v>2.0</v>
      </c>
      <c r="I21" s="58">
        <f>SUM(C21:H21)</f>
        <v>21</v>
      </c>
      <c r="K21" s="55">
        <f t="shared" ref="K21:N21" si="96">COUNTA(K15:K20)</f>
        <v>4</v>
      </c>
      <c r="L21" s="55">
        <f t="shared" si="96"/>
        <v>4</v>
      </c>
      <c r="M21" s="55">
        <f t="shared" si="96"/>
        <v>4</v>
      </c>
      <c r="N21" s="55">
        <f t="shared" si="96"/>
        <v>4</v>
      </c>
      <c r="O21" s="61">
        <v>4.0</v>
      </c>
      <c r="P21" s="61">
        <v>2.0</v>
      </c>
      <c r="Q21" s="58">
        <f>SUM(K21:P21)</f>
        <v>22</v>
      </c>
      <c r="S21" s="61">
        <v>3.0</v>
      </c>
      <c r="T21" s="61">
        <v>3.0</v>
      </c>
      <c r="U21" s="61">
        <v>3.0</v>
      </c>
      <c r="V21" s="61">
        <v>0.0</v>
      </c>
      <c r="W21" s="61">
        <v>0.0</v>
      </c>
      <c r="X21" s="61">
        <v>0.0</v>
      </c>
      <c r="Y21" s="58">
        <f>SUM(S21:X21)</f>
        <v>9</v>
      </c>
      <c r="Z21" s="18"/>
      <c r="AA21" s="8"/>
      <c r="AC21" s="61">
        <v>3.0</v>
      </c>
      <c r="AD21" s="61">
        <v>4.0</v>
      </c>
      <c r="AE21" s="61">
        <v>3.0</v>
      </c>
      <c r="AF21" s="61">
        <v>5.0</v>
      </c>
      <c r="AG21" s="61">
        <v>5.0</v>
      </c>
      <c r="AH21" s="61">
        <v>2.0</v>
      </c>
      <c r="AI21" s="58">
        <f>SUM(AC21:AH21)</f>
        <v>22</v>
      </c>
      <c r="AK21" s="61">
        <v>4.0</v>
      </c>
      <c r="AL21" s="61">
        <v>4.0</v>
      </c>
      <c r="AM21" s="61">
        <v>4.0</v>
      </c>
      <c r="AN21" s="61">
        <v>4.0</v>
      </c>
      <c r="AO21" s="61">
        <v>3.0</v>
      </c>
      <c r="AP21" s="61">
        <v>2.0</v>
      </c>
      <c r="AQ21" s="58">
        <f>SUM(AK21:AP21)</f>
        <v>21</v>
      </c>
      <c r="AS21" s="61">
        <v>3.0</v>
      </c>
      <c r="AT21" s="61">
        <v>4.0</v>
      </c>
      <c r="AU21" s="61">
        <v>3.0</v>
      </c>
      <c r="AV21" s="61">
        <v>3.0</v>
      </c>
      <c r="AW21" s="61">
        <v>3.0</v>
      </c>
      <c r="AX21" s="61">
        <v>0.0</v>
      </c>
      <c r="AY21" s="58">
        <f>SUM(AS21:AX21)</f>
        <v>16</v>
      </c>
      <c r="AZ21" s="8"/>
      <c r="BB21" s="61">
        <v>0.0</v>
      </c>
      <c r="BC21" s="61">
        <v>0.0</v>
      </c>
      <c r="BD21" s="61">
        <v>0.0</v>
      </c>
      <c r="BE21" s="61">
        <v>0.0</v>
      </c>
      <c r="BF21" s="61">
        <v>0.0</v>
      </c>
      <c r="BG21" s="61">
        <v>0.0</v>
      </c>
      <c r="BH21" s="58">
        <f>SUM(BB21:BG21)</f>
        <v>0</v>
      </c>
      <c r="BJ21" s="61">
        <v>0.0</v>
      </c>
      <c r="BK21" s="61">
        <v>0.0</v>
      </c>
      <c r="BL21" s="61">
        <v>0.0</v>
      </c>
      <c r="BM21" s="61">
        <v>0.0</v>
      </c>
      <c r="BN21" s="61">
        <v>0.0</v>
      </c>
      <c r="BO21" s="61">
        <v>0.0</v>
      </c>
      <c r="BP21" s="58">
        <f>SUM(BJ21:BO21)</f>
        <v>0</v>
      </c>
      <c r="BR21" s="61">
        <v>0.0</v>
      </c>
      <c r="BS21" s="61">
        <v>0.0</v>
      </c>
      <c r="BT21" s="61">
        <v>0.0</v>
      </c>
      <c r="BU21" s="61">
        <v>0.0</v>
      </c>
      <c r="BV21" s="61">
        <v>0.0</v>
      </c>
      <c r="BW21" s="61">
        <v>0.0</v>
      </c>
      <c r="BX21" s="58">
        <f>SUM(BR21:BW21)</f>
        <v>0</v>
      </c>
      <c r="BY21" s="22"/>
      <c r="BZ21" s="10"/>
    </row>
    <row r="22" ht="6.0" customHeight="1">
      <c r="A22" s="1"/>
      <c r="B22" s="73"/>
      <c r="C22" s="74"/>
      <c r="D22" s="74"/>
      <c r="E22" s="74"/>
      <c r="F22" s="74"/>
      <c r="G22" s="74"/>
      <c r="H22" s="73"/>
      <c r="I22" s="73"/>
      <c r="J22" s="73"/>
      <c r="K22" s="74"/>
      <c r="L22" s="74"/>
      <c r="M22" s="74"/>
      <c r="N22" s="74"/>
      <c r="O22" s="74"/>
      <c r="P22" s="73"/>
      <c r="Q22" s="73"/>
      <c r="R22" s="73"/>
      <c r="S22" s="74"/>
      <c r="T22" s="74"/>
      <c r="U22" s="74"/>
      <c r="V22" s="74"/>
      <c r="W22" s="74"/>
      <c r="X22" s="73"/>
      <c r="Y22" s="73"/>
      <c r="Z22" s="73"/>
      <c r="AA22" s="2"/>
      <c r="AB22" s="73"/>
      <c r="AC22" s="74"/>
      <c r="AD22" s="74"/>
      <c r="AE22" s="74"/>
      <c r="AF22" s="74"/>
      <c r="AG22" s="74"/>
      <c r="AH22" s="73"/>
      <c r="AI22" s="73"/>
      <c r="AJ22" s="73"/>
      <c r="AK22" s="74"/>
      <c r="AL22" s="74"/>
      <c r="AM22" s="74"/>
      <c r="AN22" s="74"/>
      <c r="AO22" s="74"/>
      <c r="AP22" s="73"/>
      <c r="AQ22" s="73"/>
      <c r="AR22" s="73"/>
      <c r="AS22" s="74"/>
      <c r="AT22" s="74"/>
      <c r="AU22" s="74"/>
      <c r="AV22" s="74"/>
      <c r="AW22" s="74"/>
      <c r="AX22" s="73"/>
      <c r="AY22" s="73"/>
      <c r="AZ22" s="2"/>
      <c r="BA22" s="73"/>
      <c r="BB22" s="74"/>
      <c r="BC22" s="74"/>
      <c r="BD22" s="74"/>
      <c r="BE22" s="74"/>
      <c r="BF22" s="74"/>
      <c r="BG22" s="73"/>
      <c r="BH22" s="73"/>
      <c r="BI22" s="73"/>
      <c r="BJ22" s="74"/>
      <c r="BK22" s="74"/>
      <c r="BL22" s="74"/>
      <c r="BM22" s="74"/>
      <c r="BN22" s="74"/>
      <c r="BO22" s="73"/>
      <c r="BP22" s="73"/>
      <c r="BQ22" s="73"/>
      <c r="BR22" s="74"/>
      <c r="BS22" s="74"/>
      <c r="BT22" s="74"/>
      <c r="BU22" s="74"/>
      <c r="BV22" s="74"/>
      <c r="BW22" s="73"/>
      <c r="BX22" s="73"/>
      <c r="BY22" s="73"/>
      <c r="BZ22" s="3"/>
    </row>
    <row r="23" ht="14.25" customHeight="1">
      <c r="A23" s="1"/>
      <c r="B23" s="75" t="s">
        <v>21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7"/>
      <c r="O23" s="99" t="s">
        <v>37</v>
      </c>
      <c r="P23" s="76"/>
      <c r="Q23" s="76"/>
      <c r="R23" s="76"/>
      <c r="S23" s="76"/>
      <c r="T23" s="76"/>
      <c r="U23" s="76"/>
      <c r="V23" s="76"/>
      <c r="W23" s="76"/>
      <c r="X23" s="103">
        <f>SUM(Y21,Y12,I21,Q21,AI12,AQ12,AY12)</f>
        <v>131</v>
      </c>
      <c r="Y23" s="77"/>
      <c r="Z23" s="74"/>
      <c r="AA23" s="80"/>
      <c r="AB23" s="75" t="s">
        <v>23</v>
      </c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7"/>
      <c r="AO23" s="99" t="s">
        <v>39</v>
      </c>
      <c r="AP23" s="76"/>
      <c r="AQ23" s="76"/>
      <c r="AR23" s="76"/>
      <c r="AS23" s="76"/>
      <c r="AT23" s="76"/>
      <c r="AU23" s="76"/>
      <c r="AV23" s="76"/>
      <c r="AW23" s="76"/>
      <c r="AX23" s="103">
        <f>SUM(AY21,AI21,AQ21,BH12,BP12)</f>
        <v>75</v>
      </c>
      <c r="AY23" s="77"/>
      <c r="AZ23" s="2"/>
      <c r="BA23" s="73"/>
      <c r="BB23" s="109"/>
      <c r="BN23" s="99" t="s">
        <v>39</v>
      </c>
      <c r="BO23" s="76"/>
      <c r="BP23" s="76"/>
      <c r="BQ23" s="76"/>
      <c r="BR23" s="76"/>
      <c r="BS23" s="76"/>
      <c r="BT23" s="76"/>
      <c r="BU23" s="76"/>
      <c r="BV23" s="76"/>
      <c r="BW23" s="103">
        <f>SUM(BH12,BP12)</f>
        <v>16</v>
      </c>
      <c r="BX23" s="77"/>
      <c r="BY23" s="83"/>
      <c r="BZ23" s="84"/>
    </row>
    <row r="24" ht="12.0" customHeight="1">
      <c r="A24" s="1"/>
      <c r="B24" s="112" t="s">
        <v>42</v>
      </c>
      <c r="C24" s="86"/>
      <c r="D24" s="86"/>
      <c r="E24" s="86"/>
      <c r="F24" s="86"/>
      <c r="G24" s="86"/>
      <c r="H24" s="87"/>
      <c r="I24" s="113" t="s">
        <v>43</v>
      </c>
      <c r="J24" s="86"/>
      <c r="K24" s="86"/>
      <c r="L24" s="86"/>
      <c r="M24" s="86"/>
      <c r="N24" s="89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2"/>
      <c r="Z24" s="74"/>
      <c r="AA24" s="80"/>
      <c r="AB24" s="112" t="s">
        <v>46</v>
      </c>
      <c r="AC24" s="86"/>
      <c r="AD24" s="86"/>
      <c r="AE24" s="86"/>
      <c r="AF24" s="86"/>
      <c r="AG24" s="86"/>
      <c r="AH24" s="87"/>
      <c r="AI24" s="113" t="s">
        <v>48</v>
      </c>
      <c r="AJ24" s="86"/>
      <c r="AK24" s="86"/>
      <c r="AL24" s="86"/>
      <c r="AM24" s="86"/>
      <c r="AN24" s="89"/>
      <c r="AO24" s="90"/>
      <c r="AP24" s="91"/>
      <c r="AQ24" s="91"/>
      <c r="AR24" s="91"/>
      <c r="AS24" s="91"/>
      <c r="AT24" s="91"/>
      <c r="AU24" s="91"/>
      <c r="AV24" s="91"/>
      <c r="AW24" s="91"/>
      <c r="AX24" s="91"/>
      <c r="AY24" s="92"/>
      <c r="AZ24" s="2"/>
      <c r="BA24" s="73"/>
      <c r="BB24" s="122"/>
      <c r="BH24" s="122"/>
      <c r="BN24" s="90"/>
      <c r="BO24" s="91"/>
      <c r="BP24" s="91"/>
      <c r="BQ24" s="91"/>
      <c r="BR24" s="91"/>
      <c r="BS24" s="91"/>
      <c r="BT24" s="91"/>
      <c r="BU24" s="91"/>
      <c r="BV24" s="91"/>
      <c r="BW24" s="91"/>
      <c r="BX24" s="92"/>
      <c r="BY24" s="83"/>
      <c r="BZ24" s="84"/>
    </row>
    <row r="25" ht="17.25" customHeight="1">
      <c r="A25" s="4"/>
      <c r="B25" s="125" t="s">
        <v>52</v>
      </c>
      <c r="I25" s="130">
        <f>SUM(S12,C21,K21,S21,AC12,AK12,AS12)</f>
        <v>24</v>
      </c>
      <c r="J25" s="130" t="s">
        <v>30</v>
      </c>
      <c r="K25" s="18"/>
      <c r="L25" s="130">
        <f>SUM(T12,D21,L21,T21,AD12,AL12,AT12)</f>
        <v>27</v>
      </c>
      <c r="M25" s="130" t="s">
        <v>31</v>
      </c>
      <c r="N25" s="18"/>
      <c r="O25" s="130">
        <f>SUM(U12,E21,M21,AE12,AM12,AU12,U21)</f>
        <v>27</v>
      </c>
      <c r="P25" s="130" t="s">
        <v>32</v>
      </c>
      <c r="Q25" s="18"/>
      <c r="R25" s="130">
        <f>SUM(V12,F21,N21,V21,AF12,AN12,AV12)</f>
        <v>22</v>
      </c>
      <c r="S25" s="130" t="s">
        <v>33</v>
      </c>
      <c r="T25" s="18"/>
      <c r="U25" s="130">
        <f>SUM(W12,G21,O21,W21,AG12,AO12,AW12)</f>
        <v>20</v>
      </c>
      <c r="V25" s="130" t="s">
        <v>34</v>
      </c>
      <c r="W25" s="18"/>
      <c r="X25" s="130">
        <f>SUM(X12,H21,P21,X21,AH12,AP12,AX12)</f>
        <v>11</v>
      </c>
      <c r="Y25" s="130" t="s">
        <v>35</v>
      </c>
      <c r="Z25" s="18"/>
      <c r="AA25" s="140"/>
      <c r="AB25" s="125" t="s">
        <v>61</v>
      </c>
      <c r="AI25" s="130">
        <f>SUM(AC21,AK21,AS21,BB12,BJ12)</f>
        <v>13</v>
      </c>
      <c r="AJ25" s="130" t="s">
        <v>30</v>
      </c>
      <c r="AK25" s="18"/>
      <c r="AL25" s="130">
        <f>SUM(AD21,AL21,AT21,BC12,BK12)</f>
        <v>15</v>
      </c>
      <c r="AM25" s="130" t="s">
        <v>31</v>
      </c>
      <c r="AN25" s="18"/>
      <c r="AO25" s="130">
        <f>SUM(AE21,AM21,AU21,BD12,BL12)</f>
        <v>12</v>
      </c>
      <c r="AP25" s="130" t="s">
        <v>32</v>
      </c>
      <c r="AQ25" s="18"/>
      <c r="AR25" s="130">
        <f>SUM(AF21,AN21,AV21,BE12,BM12)</f>
        <v>16</v>
      </c>
      <c r="AS25" s="130" t="s">
        <v>33</v>
      </c>
      <c r="AT25" s="18"/>
      <c r="AU25" s="130">
        <f>SUM(AG21,AO21,AW21,BF12,BN12)</f>
        <v>14</v>
      </c>
      <c r="AV25" s="130" t="s">
        <v>34</v>
      </c>
      <c r="AW25" s="18"/>
      <c r="AX25" s="130">
        <f>SUM(AH21,AP21,AX21,BG12,BO12)</f>
        <v>5</v>
      </c>
      <c r="AY25" s="130" t="s">
        <v>35</v>
      </c>
      <c r="AZ25" s="2"/>
      <c r="BA25" s="18"/>
      <c r="BB25" s="144" t="s">
        <v>69</v>
      </c>
      <c r="BC25" s="137"/>
      <c r="BD25" s="137"/>
      <c r="BE25" s="137"/>
      <c r="BF25" s="137"/>
      <c r="BG25" s="137"/>
      <c r="BH25" s="137"/>
      <c r="BI25" s="137"/>
      <c r="BJ25" s="137"/>
      <c r="BK25" s="137"/>
      <c r="BL25" s="146">
        <f>X23+AX23</f>
        <v>206</v>
      </c>
      <c r="BM25" s="137"/>
      <c r="BN25" s="147" t="s">
        <v>71</v>
      </c>
      <c r="BO25" s="102"/>
      <c r="BP25" s="102"/>
      <c r="BQ25" s="102"/>
      <c r="BR25" s="102"/>
      <c r="BS25" s="102"/>
      <c r="BT25" s="102"/>
      <c r="BU25" s="102"/>
      <c r="BV25" s="148">
        <v>46447.0</v>
      </c>
      <c r="BW25" s="102"/>
      <c r="BX25" s="102"/>
      <c r="BY25" s="22"/>
      <c r="BZ25" s="10"/>
    </row>
    <row r="26" ht="1.5" customHeight="1">
      <c r="A26" s="95"/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2"/>
      <c r="BA26" s="84"/>
      <c r="BB26" s="84"/>
      <c r="BC26" s="84"/>
      <c r="BD26" s="84"/>
      <c r="BE26" s="84"/>
      <c r="BF26" s="84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ht="12.0" customHeight="1">
      <c r="A27" s="1"/>
      <c r="B27" s="111"/>
      <c r="C27" s="111"/>
      <c r="AZ27" s="2"/>
      <c r="BA27" s="74"/>
      <c r="BB27" s="74"/>
      <c r="BC27" s="74"/>
      <c r="BD27" s="74"/>
      <c r="BE27" s="74"/>
      <c r="BF27" s="74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</row>
    <row r="28" ht="18.0" customHeight="1">
      <c r="A28" s="95"/>
      <c r="B28" s="149" t="s">
        <v>44</v>
      </c>
      <c r="C28" s="102"/>
      <c r="D28" s="102"/>
      <c r="E28" s="102"/>
      <c r="F28" s="102"/>
      <c r="G28" s="115"/>
      <c r="H28" s="150"/>
      <c r="I28" s="151"/>
      <c r="J28" s="152" t="s">
        <v>45</v>
      </c>
      <c r="K28" s="102"/>
      <c r="L28" s="102"/>
      <c r="M28" s="102"/>
      <c r="N28" s="102"/>
      <c r="O28" s="115"/>
      <c r="P28" s="153"/>
      <c r="Q28" s="154"/>
      <c r="R28" s="149" t="s">
        <v>47</v>
      </c>
      <c r="S28" s="102"/>
      <c r="T28" s="102"/>
      <c r="U28" s="102"/>
      <c r="V28" s="115"/>
      <c r="W28" s="155"/>
      <c r="X28" s="154"/>
      <c r="Y28" s="149" t="s">
        <v>49</v>
      </c>
      <c r="Z28" s="102"/>
      <c r="AA28" s="102"/>
      <c r="AB28" s="102"/>
      <c r="AC28" s="102"/>
      <c r="AD28" s="102"/>
      <c r="AE28" s="102"/>
      <c r="AF28" s="115"/>
      <c r="AG28" s="156"/>
      <c r="AH28" s="151"/>
      <c r="AI28" s="149" t="s">
        <v>50</v>
      </c>
      <c r="AJ28" s="102"/>
      <c r="AK28" s="102"/>
      <c r="AL28" s="102"/>
      <c r="AM28" s="102"/>
      <c r="AN28" s="102"/>
      <c r="AO28" s="115"/>
      <c r="AP28" s="158"/>
      <c r="AQ28" s="151"/>
      <c r="AR28" s="149" t="s">
        <v>51</v>
      </c>
      <c r="AS28" s="102"/>
      <c r="AT28" s="102"/>
      <c r="AU28" s="102"/>
      <c r="AV28" s="102"/>
      <c r="AW28" s="102"/>
      <c r="AX28" s="115"/>
      <c r="AY28" s="126"/>
      <c r="AZ28" s="159"/>
      <c r="BA28" s="162" t="s">
        <v>69</v>
      </c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15"/>
      <c r="BZ28" s="73"/>
    </row>
    <row r="29" ht="21.0" customHeight="1">
      <c r="A29" s="95"/>
      <c r="B29" s="149" t="s">
        <v>54</v>
      </c>
      <c r="C29" s="102"/>
      <c r="D29" s="102"/>
      <c r="E29" s="102"/>
      <c r="F29" s="102"/>
      <c r="G29" s="115"/>
      <c r="H29" s="165"/>
      <c r="I29" s="18"/>
      <c r="J29" s="152" t="s">
        <v>55</v>
      </c>
      <c r="K29" s="102"/>
      <c r="L29" s="102"/>
      <c r="M29" s="102"/>
      <c r="N29" s="102"/>
      <c r="O29" s="115"/>
      <c r="P29" s="167"/>
      <c r="Q29" s="18"/>
      <c r="R29" s="152" t="s">
        <v>56</v>
      </c>
      <c r="S29" s="102"/>
      <c r="T29" s="102"/>
      <c r="U29" s="102"/>
      <c r="V29" s="115"/>
      <c r="W29" s="168"/>
      <c r="X29" s="18"/>
      <c r="Y29" s="149" t="s">
        <v>57</v>
      </c>
      <c r="Z29" s="102"/>
      <c r="AA29" s="102"/>
      <c r="AB29" s="102"/>
      <c r="AC29" s="102"/>
      <c r="AD29" s="102"/>
      <c r="AE29" s="102"/>
      <c r="AF29" s="115"/>
      <c r="AG29" s="170"/>
      <c r="AH29" s="18"/>
      <c r="AI29" s="149" t="s">
        <v>58</v>
      </c>
      <c r="AJ29" s="102"/>
      <c r="AK29" s="102"/>
      <c r="AL29" s="102"/>
      <c r="AM29" s="102"/>
      <c r="AN29" s="102"/>
      <c r="AO29" s="115"/>
      <c r="AP29" s="172"/>
      <c r="AQ29" s="173"/>
      <c r="AR29" s="175" t="s">
        <v>92</v>
      </c>
      <c r="AS29" s="102"/>
      <c r="AT29" s="102"/>
      <c r="AU29" s="102"/>
      <c r="AV29" s="102"/>
      <c r="AW29" s="102"/>
      <c r="AX29" s="115"/>
      <c r="AY29" s="176"/>
      <c r="AZ29" s="177"/>
      <c r="BA29" s="178" t="s">
        <v>94</v>
      </c>
      <c r="BB29" s="137"/>
      <c r="BC29" s="137"/>
      <c r="BD29" s="137"/>
      <c r="BE29" s="137"/>
      <c r="BF29" s="137"/>
      <c r="BG29" s="137"/>
      <c r="BH29" s="181">
        <f>I25+AI25</f>
        <v>37</v>
      </c>
      <c r="BI29" s="181" t="s">
        <v>30</v>
      </c>
      <c r="BJ29" s="173"/>
      <c r="BK29" s="181">
        <f>L25+AL25</f>
        <v>42</v>
      </c>
      <c r="BL29" s="181" t="s">
        <v>31</v>
      </c>
      <c r="BM29" s="173"/>
      <c r="BN29" s="181">
        <f>O25+AO25</f>
        <v>39</v>
      </c>
      <c r="BO29" s="181" t="s">
        <v>32</v>
      </c>
      <c r="BP29" s="173"/>
      <c r="BQ29" s="181">
        <f>R25+AR25</f>
        <v>38</v>
      </c>
      <c r="BR29" s="181" t="s">
        <v>33</v>
      </c>
      <c r="BS29" s="173"/>
      <c r="BT29" s="181">
        <f>U25+AU25</f>
        <v>34</v>
      </c>
      <c r="BU29" s="181" t="s">
        <v>34</v>
      </c>
      <c r="BV29" s="173"/>
      <c r="BW29" s="181">
        <f>X25+AX25</f>
        <v>16</v>
      </c>
      <c r="BX29" s="181" t="s">
        <v>35</v>
      </c>
      <c r="BY29" s="183"/>
      <c r="BZ29" s="73"/>
    </row>
    <row r="30" ht="16.5" customHeight="1">
      <c r="A30" s="95"/>
      <c r="B30" s="139" t="s">
        <v>60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15"/>
      <c r="AZ30" s="141"/>
      <c r="BA30" s="74"/>
      <c r="BB30" s="74"/>
      <c r="BC30" s="185"/>
      <c r="BD30" s="186"/>
      <c r="BE30" s="187"/>
      <c r="BF30" s="188"/>
      <c r="BG30" s="189"/>
      <c r="BH30" s="190">
        <f>40-BH29</f>
        <v>3</v>
      </c>
      <c r="BI30" s="190"/>
      <c r="BJ30" s="190"/>
      <c r="BK30" s="190">
        <f>40-BK29</f>
        <v>-2</v>
      </c>
      <c r="BL30" s="190"/>
      <c r="BM30" s="190"/>
      <c r="BN30" s="190">
        <f>40-BN29</f>
        <v>1</v>
      </c>
      <c r="BO30" s="190"/>
      <c r="BP30" s="190"/>
      <c r="BQ30" s="190">
        <f>40-BQ29</f>
        <v>2</v>
      </c>
      <c r="BR30" s="190"/>
      <c r="BS30" s="190"/>
      <c r="BT30" s="190">
        <f>40-BT29</f>
        <v>6</v>
      </c>
      <c r="BU30" s="190"/>
      <c r="BV30" s="190"/>
      <c r="BW30" s="190"/>
      <c r="BX30" s="190"/>
      <c r="BY30" s="73"/>
      <c r="BZ30" s="73"/>
    </row>
    <row r="31" ht="13.5" customHeight="1">
      <c r="A31" s="95"/>
      <c r="B31" s="142" t="s">
        <v>63</v>
      </c>
      <c r="C31" s="102"/>
      <c r="D31" s="102"/>
      <c r="E31" s="102"/>
      <c r="F31" s="102"/>
      <c r="G31" s="102"/>
      <c r="H31" s="102"/>
      <c r="I31" s="115"/>
      <c r="J31" s="143"/>
      <c r="K31" s="142" t="s">
        <v>64</v>
      </c>
      <c r="L31" s="102"/>
      <c r="M31" s="102"/>
      <c r="N31" s="102"/>
      <c r="O31" s="102"/>
      <c r="P31" s="102"/>
      <c r="Q31" s="102"/>
      <c r="R31" s="115"/>
      <c r="S31" s="83"/>
      <c r="T31" s="192"/>
      <c r="U31" s="102"/>
      <c r="V31" s="102"/>
      <c r="W31" s="102"/>
      <c r="X31" s="102"/>
      <c r="Y31" s="102"/>
      <c r="Z31" s="102"/>
      <c r="AA31" s="115"/>
      <c r="AB31" s="143"/>
      <c r="AC31" s="192" t="s">
        <v>99</v>
      </c>
      <c r="AD31" s="102"/>
      <c r="AE31" s="102"/>
      <c r="AF31" s="102"/>
      <c r="AG31" s="102"/>
      <c r="AH31" s="102"/>
      <c r="AI31" s="102"/>
      <c r="AJ31" s="115"/>
      <c r="AK31" s="143"/>
      <c r="AL31" s="142"/>
      <c r="AM31" s="102"/>
      <c r="AN31" s="102"/>
      <c r="AO31" s="102"/>
      <c r="AP31" s="102"/>
      <c r="AQ31" s="102"/>
      <c r="AR31" s="102"/>
      <c r="AS31" s="115"/>
      <c r="AT31" s="143"/>
      <c r="AU31" s="145" t="s">
        <v>68</v>
      </c>
      <c r="AV31" s="102"/>
      <c r="AW31" s="102"/>
      <c r="AX31" s="102"/>
      <c r="AY31" s="115"/>
      <c r="AZ31" s="2"/>
      <c r="BA31" s="74"/>
      <c r="BB31" s="74"/>
      <c r="BC31" s="74"/>
      <c r="BD31" s="74"/>
      <c r="BE31" s="74"/>
      <c r="BF31" s="74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</row>
    <row r="32" ht="13.5" customHeight="1">
      <c r="A32" s="1"/>
      <c r="B32" s="142" t="s">
        <v>70</v>
      </c>
      <c r="C32" s="102"/>
      <c r="D32" s="102"/>
      <c r="E32" s="102"/>
      <c r="F32" s="102"/>
      <c r="G32" s="102"/>
      <c r="H32" s="102"/>
      <c r="I32" s="115"/>
      <c r="J32" s="143"/>
      <c r="K32" s="142" t="s">
        <v>72</v>
      </c>
      <c r="L32" s="102"/>
      <c r="M32" s="102"/>
      <c r="N32" s="102"/>
      <c r="O32" s="102"/>
      <c r="P32" s="102"/>
      <c r="Q32" s="102"/>
      <c r="R32" s="115"/>
      <c r="S32" s="83"/>
      <c r="T32" s="192" t="s">
        <v>101</v>
      </c>
      <c r="U32" s="102"/>
      <c r="V32" s="102"/>
      <c r="W32" s="102"/>
      <c r="X32" s="102"/>
      <c r="Y32" s="102"/>
      <c r="Z32" s="102"/>
      <c r="AA32" s="115"/>
      <c r="AB32" s="143"/>
      <c r="AC32" s="142" t="s">
        <v>74</v>
      </c>
      <c r="AD32" s="102"/>
      <c r="AE32" s="102"/>
      <c r="AF32" s="102"/>
      <c r="AG32" s="102"/>
      <c r="AH32" s="102"/>
      <c r="AI32" s="102"/>
      <c r="AJ32" s="115"/>
      <c r="AK32" s="143"/>
      <c r="AL32" s="142" t="s">
        <v>75</v>
      </c>
      <c r="AM32" s="102"/>
      <c r="AN32" s="102"/>
      <c r="AO32" s="102"/>
      <c r="AP32" s="102"/>
      <c r="AQ32" s="102"/>
      <c r="AR32" s="102"/>
      <c r="AS32" s="115"/>
      <c r="AT32" s="143"/>
      <c r="AU32" s="142" t="s">
        <v>76</v>
      </c>
      <c r="AV32" s="102"/>
      <c r="AW32" s="102"/>
      <c r="AX32" s="102"/>
      <c r="AY32" s="115"/>
      <c r="AZ32" s="2"/>
      <c r="BA32" s="74"/>
      <c r="BB32" s="74"/>
      <c r="BC32" s="74"/>
      <c r="BD32" s="74"/>
      <c r="BE32" s="74"/>
      <c r="BF32" s="74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</row>
    <row r="33" ht="15.0" customHeight="1">
      <c r="A33" s="1"/>
      <c r="B33" s="142" t="s">
        <v>77</v>
      </c>
      <c r="C33" s="102"/>
      <c r="D33" s="102"/>
      <c r="E33" s="102"/>
      <c r="F33" s="102"/>
      <c r="G33" s="102"/>
      <c r="H33" s="102"/>
      <c r="I33" s="115"/>
      <c r="J33" s="143"/>
      <c r="K33" s="142" t="s">
        <v>78</v>
      </c>
      <c r="L33" s="102"/>
      <c r="M33" s="102"/>
      <c r="N33" s="102"/>
      <c r="O33" s="102"/>
      <c r="P33" s="102"/>
      <c r="Q33" s="102"/>
      <c r="R33" s="115"/>
      <c r="S33" s="83"/>
      <c r="T33" s="192" t="s">
        <v>103</v>
      </c>
      <c r="U33" s="102"/>
      <c r="V33" s="102"/>
      <c r="W33" s="102"/>
      <c r="X33" s="102"/>
      <c r="Y33" s="102"/>
      <c r="Z33" s="102"/>
      <c r="AA33" s="115"/>
      <c r="AB33" s="143"/>
      <c r="AC33" s="142" t="s">
        <v>80</v>
      </c>
      <c r="AD33" s="102"/>
      <c r="AE33" s="102"/>
      <c r="AF33" s="102"/>
      <c r="AG33" s="102"/>
      <c r="AH33" s="102"/>
      <c r="AI33" s="102"/>
      <c r="AJ33" s="115"/>
      <c r="AK33" s="143"/>
      <c r="AL33" s="142" t="s">
        <v>81</v>
      </c>
      <c r="AM33" s="102"/>
      <c r="AN33" s="102"/>
      <c r="AO33" s="102"/>
      <c r="AP33" s="102"/>
      <c r="AQ33" s="102"/>
      <c r="AR33" s="102"/>
      <c r="AS33" s="115"/>
      <c r="AT33" s="143"/>
      <c r="AU33" s="142" t="s">
        <v>82</v>
      </c>
      <c r="AV33" s="102"/>
      <c r="AW33" s="102"/>
      <c r="AX33" s="102"/>
      <c r="AY33" s="115"/>
      <c r="AZ33" s="2"/>
      <c r="BA33" s="74"/>
      <c r="BB33" s="74"/>
      <c r="BC33" s="74"/>
      <c r="BD33" s="74"/>
      <c r="BE33" s="74"/>
      <c r="BF33" s="74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</row>
    <row r="34" ht="12.75" customHeight="1">
      <c r="A34" s="1"/>
      <c r="B34" s="142" t="s">
        <v>83</v>
      </c>
      <c r="C34" s="102"/>
      <c r="D34" s="102"/>
      <c r="E34" s="102"/>
      <c r="F34" s="102"/>
      <c r="G34" s="102"/>
      <c r="H34" s="102"/>
      <c r="I34" s="115"/>
      <c r="J34" s="73"/>
      <c r="K34" s="142" t="s">
        <v>84</v>
      </c>
      <c r="L34" s="102"/>
      <c r="M34" s="102"/>
      <c r="N34" s="102"/>
      <c r="O34" s="102"/>
      <c r="P34" s="102"/>
      <c r="Q34" s="102"/>
      <c r="R34" s="115"/>
      <c r="S34" s="73"/>
      <c r="T34" s="142" t="s">
        <v>106</v>
      </c>
      <c r="U34" s="102"/>
      <c r="V34" s="102"/>
      <c r="W34" s="102"/>
      <c r="X34" s="102"/>
      <c r="Y34" s="102"/>
      <c r="Z34" s="102"/>
      <c r="AA34" s="115"/>
      <c r="AB34" s="73"/>
      <c r="AC34" s="192" t="s">
        <v>107</v>
      </c>
      <c r="AD34" s="102"/>
      <c r="AE34" s="102"/>
      <c r="AF34" s="102"/>
      <c r="AG34" s="102"/>
      <c r="AH34" s="102"/>
      <c r="AI34" s="102"/>
      <c r="AJ34" s="115"/>
      <c r="AK34" s="73"/>
      <c r="AL34" s="142"/>
      <c r="AM34" s="102"/>
      <c r="AN34" s="102"/>
      <c r="AO34" s="102"/>
      <c r="AP34" s="102"/>
      <c r="AQ34" s="102"/>
      <c r="AR34" s="102"/>
      <c r="AS34" s="115"/>
      <c r="AT34" s="73"/>
      <c r="AU34" s="73"/>
      <c r="AV34" s="73"/>
      <c r="AW34" s="73"/>
      <c r="AX34" s="73"/>
      <c r="AY34" s="73"/>
      <c r="AZ34" s="2"/>
      <c r="BA34" s="74"/>
      <c r="BB34" s="74"/>
      <c r="BC34" s="74"/>
      <c r="BD34" s="74"/>
      <c r="BE34" s="74"/>
      <c r="BF34" s="74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</row>
    <row r="35" ht="10.5" customHeight="1">
      <c r="A35" s="95"/>
      <c r="B35" s="194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15"/>
      <c r="AZ35" s="164"/>
      <c r="BA35" s="166"/>
      <c r="BB35" s="166"/>
      <c r="BC35" s="166"/>
      <c r="BD35" s="166"/>
      <c r="BE35" s="166"/>
      <c r="BF35" s="166"/>
      <c r="BG35" s="166"/>
    </row>
    <row r="36" ht="12.0" customHeight="1">
      <c r="A36" s="195" t="s">
        <v>88</v>
      </c>
      <c r="B36" s="102"/>
      <c r="C36" s="102"/>
      <c r="D36" s="102"/>
      <c r="E36" s="102"/>
      <c r="F36" s="102"/>
      <c r="G36" s="102"/>
      <c r="H36" s="115"/>
      <c r="I36" s="196" t="s">
        <v>89</v>
      </c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3"/>
      <c r="AY36" s="197"/>
      <c r="AZ36" s="164"/>
      <c r="BA36" s="166"/>
      <c r="BB36" s="166"/>
      <c r="BC36" s="166"/>
      <c r="BD36" s="166"/>
      <c r="BE36" s="166"/>
      <c r="BF36" s="166"/>
      <c r="BG36" s="166"/>
    </row>
    <row r="37" ht="12.0" customHeight="1">
      <c r="A37" s="195" t="s">
        <v>112</v>
      </c>
      <c r="B37" s="102"/>
      <c r="C37" s="102"/>
      <c r="D37" s="102"/>
      <c r="E37" s="102"/>
      <c r="F37" s="102"/>
      <c r="G37" s="102"/>
      <c r="H37" s="115"/>
      <c r="I37" s="169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8"/>
      <c r="AY37" s="199"/>
      <c r="AZ37" s="164"/>
      <c r="BA37" s="166"/>
      <c r="BB37" s="166"/>
      <c r="BC37" s="166"/>
      <c r="BD37" s="166"/>
      <c r="BE37" s="166"/>
      <c r="BF37" s="166"/>
      <c r="BG37" s="166"/>
    </row>
    <row r="38">
      <c r="A38" s="201" t="s">
        <v>114</v>
      </c>
      <c r="B38" s="102"/>
      <c r="C38" s="102"/>
      <c r="D38" s="102"/>
      <c r="E38" s="102"/>
      <c r="F38" s="102"/>
      <c r="G38" s="102"/>
      <c r="H38" s="115"/>
      <c r="I38" s="202" t="s">
        <v>115</v>
      </c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15"/>
      <c r="AZ38" s="164"/>
    </row>
    <row r="39" ht="12.0" customHeight="1">
      <c r="A39" s="201" t="s">
        <v>117</v>
      </c>
      <c r="B39" s="102"/>
      <c r="C39" s="102"/>
      <c r="D39" s="102"/>
      <c r="E39" s="102"/>
      <c r="F39" s="102"/>
      <c r="G39" s="102"/>
      <c r="H39" s="115"/>
      <c r="I39" s="203" t="s">
        <v>118</v>
      </c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15"/>
      <c r="AY39" s="204"/>
      <c r="AZ39" s="164"/>
      <c r="BA39" s="166"/>
      <c r="BB39" s="166"/>
      <c r="BC39" s="166"/>
      <c r="BD39" s="166"/>
      <c r="BE39" s="166"/>
      <c r="BF39" s="166"/>
      <c r="BG39" s="166"/>
    </row>
    <row r="40" ht="13.5" customHeight="1">
      <c r="A40" s="201" t="s">
        <v>120</v>
      </c>
      <c r="B40" s="102"/>
      <c r="C40" s="102"/>
      <c r="D40" s="102"/>
      <c r="E40" s="102"/>
      <c r="F40" s="102"/>
      <c r="G40" s="102"/>
      <c r="H40" s="115"/>
      <c r="I40" s="203" t="s">
        <v>121</v>
      </c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15"/>
      <c r="AZ40" s="164"/>
    </row>
    <row r="41" ht="12.0" customHeight="1">
      <c r="A41" s="205"/>
      <c r="B41" s="201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15"/>
      <c r="AZ41" s="164"/>
      <c r="BA41" s="166"/>
      <c r="BB41" s="166"/>
      <c r="BC41" s="166"/>
      <c r="BD41" s="166"/>
      <c r="BE41" s="166"/>
      <c r="BF41" s="166"/>
      <c r="BG41" s="166"/>
    </row>
    <row r="42" ht="12.0" customHeight="1">
      <c r="A42" s="201" t="s">
        <v>123</v>
      </c>
      <c r="B42" s="102"/>
      <c r="C42" s="102"/>
      <c r="D42" s="102"/>
      <c r="E42" s="102"/>
      <c r="F42" s="102"/>
      <c r="G42" s="102"/>
      <c r="H42" s="115"/>
      <c r="I42" s="206" t="s">
        <v>100</v>
      </c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15"/>
      <c r="AY42" s="207"/>
      <c r="AZ42" s="164"/>
      <c r="BA42" s="166"/>
      <c r="BB42" s="166"/>
      <c r="BC42" s="166"/>
      <c r="BD42" s="166"/>
      <c r="BE42" s="166"/>
      <c r="BF42" s="166"/>
      <c r="BG42" s="166"/>
    </row>
    <row r="43" ht="12.0" customHeight="1">
      <c r="A43" s="205"/>
      <c r="B43" s="201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15"/>
      <c r="AZ43" s="164"/>
      <c r="BA43" s="166"/>
      <c r="BB43" s="166"/>
      <c r="BC43" s="166"/>
      <c r="BD43" s="166"/>
      <c r="BE43" s="166"/>
      <c r="BF43" s="166"/>
      <c r="BG43" s="166"/>
    </row>
    <row r="44" ht="12.0" customHeight="1">
      <c r="A44" s="201" t="s">
        <v>126</v>
      </c>
      <c r="B44" s="102"/>
      <c r="C44" s="102"/>
      <c r="D44" s="102"/>
      <c r="E44" s="102"/>
      <c r="F44" s="102"/>
      <c r="G44" s="102"/>
      <c r="H44" s="115"/>
      <c r="I44" s="208" t="s">
        <v>128</v>
      </c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15"/>
      <c r="AY44" s="209"/>
      <c r="AZ44" s="164"/>
      <c r="BA44" s="166"/>
      <c r="BB44" s="166"/>
      <c r="BC44" s="166"/>
      <c r="BD44" s="166"/>
      <c r="BE44" s="166"/>
      <c r="BF44" s="166"/>
      <c r="BG44" s="166"/>
    </row>
    <row r="45" ht="12.0" customHeight="1">
      <c r="A45" s="201" t="s">
        <v>130</v>
      </c>
      <c r="B45" s="102"/>
      <c r="C45" s="102"/>
      <c r="D45" s="102"/>
      <c r="E45" s="102"/>
      <c r="F45" s="102"/>
      <c r="G45" s="102"/>
      <c r="H45" s="115"/>
      <c r="I45" s="206" t="s">
        <v>131</v>
      </c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15"/>
      <c r="AY45" s="209"/>
      <c r="AZ45" s="164"/>
      <c r="BA45" s="166"/>
      <c r="BB45" s="166"/>
      <c r="BC45" s="166"/>
      <c r="BD45" s="166"/>
      <c r="BE45" s="166"/>
      <c r="BF45" s="166"/>
      <c r="BG45" s="166"/>
    </row>
    <row r="46" ht="12.0" customHeight="1">
      <c r="A46" s="201" t="s">
        <v>132</v>
      </c>
      <c r="B46" s="102"/>
      <c r="C46" s="102"/>
      <c r="D46" s="102"/>
      <c r="E46" s="102"/>
      <c r="F46" s="102"/>
      <c r="G46" s="102"/>
      <c r="H46" s="115"/>
      <c r="I46" s="208" t="s">
        <v>133</v>
      </c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15"/>
      <c r="AY46" s="210"/>
      <c r="AZ46" s="164"/>
      <c r="BA46" s="166"/>
      <c r="BB46" s="166"/>
      <c r="BC46" s="166"/>
      <c r="BD46" s="166"/>
      <c r="BE46" s="166"/>
      <c r="BF46" s="166"/>
      <c r="BG46" s="166"/>
    </row>
    <row r="47" ht="12.0" customHeight="1">
      <c r="A47" s="201" t="s">
        <v>135</v>
      </c>
      <c r="B47" s="102"/>
      <c r="C47" s="102"/>
      <c r="D47" s="102"/>
      <c r="E47" s="102"/>
      <c r="F47" s="102"/>
      <c r="G47" s="102"/>
      <c r="H47" s="115"/>
      <c r="I47" s="211" t="s">
        <v>136</v>
      </c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15"/>
      <c r="AY47" s="209"/>
      <c r="AZ47" s="164"/>
      <c r="BA47" s="166"/>
      <c r="BB47" s="166"/>
      <c r="BC47" s="166"/>
      <c r="BD47" s="166"/>
      <c r="BE47" s="166"/>
      <c r="BF47" s="166"/>
      <c r="BG47" s="166"/>
    </row>
    <row r="48" ht="12.0" customHeight="1">
      <c r="A48" s="201" t="s">
        <v>135</v>
      </c>
      <c r="B48" s="102"/>
      <c r="C48" s="102"/>
      <c r="D48" s="102"/>
      <c r="E48" s="102"/>
      <c r="F48" s="102"/>
      <c r="G48" s="102"/>
      <c r="H48" s="115"/>
      <c r="I48" s="211" t="s">
        <v>110</v>
      </c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15"/>
      <c r="AY48" s="210"/>
      <c r="AZ48" s="164"/>
      <c r="BA48" s="166"/>
      <c r="BB48" s="166"/>
      <c r="BC48" s="166"/>
      <c r="BD48" s="166"/>
      <c r="BE48" s="166"/>
      <c r="BF48" s="166"/>
      <c r="BG48" s="166"/>
    </row>
    <row r="49" ht="12.0" customHeight="1">
      <c r="A49" s="212">
        <v>46090.0</v>
      </c>
      <c r="B49" s="102"/>
      <c r="C49" s="102"/>
      <c r="D49" s="102"/>
      <c r="E49" s="102"/>
      <c r="F49" s="102"/>
      <c r="G49" s="102"/>
      <c r="H49" s="115"/>
      <c r="I49" s="213" t="s">
        <v>139</v>
      </c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15"/>
      <c r="AY49" s="209"/>
      <c r="AZ49" s="164"/>
      <c r="BA49" s="166"/>
      <c r="BB49" s="166"/>
      <c r="BC49" s="166"/>
      <c r="BD49" s="166"/>
      <c r="BE49" s="166"/>
      <c r="BF49" s="166"/>
      <c r="BG49" s="166"/>
    </row>
    <row r="50" ht="12.0" customHeight="1">
      <c r="A50" s="214" t="s">
        <v>141</v>
      </c>
      <c r="B50" s="102"/>
      <c r="C50" s="102"/>
      <c r="D50" s="102"/>
      <c r="E50" s="102"/>
      <c r="F50" s="102"/>
      <c r="G50" s="102"/>
      <c r="H50" s="115"/>
      <c r="I50" s="211" t="s">
        <v>142</v>
      </c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15"/>
      <c r="AY50" s="210"/>
      <c r="AZ50" s="164"/>
      <c r="BA50" s="166"/>
      <c r="BB50" s="166"/>
      <c r="BC50" s="166"/>
      <c r="BD50" s="166"/>
      <c r="BE50" s="166"/>
      <c r="BF50" s="166"/>
      <c r="BG50" s="166"/>
    </row>
    <row r="51" ht="12.0" customHeight="1">
      <c r="A51" s="212">
        <v>46094.0</v>
      </c>
      <c r="B51" s="102"/>
      <c r="C51" s="102"/>
      <c r="D51" s="102"/>
      <c r="E51" s="102"/>
      <c r="F51" s="102"/>
      <c r="G51" s="102"/>
      <c r="H51" s="115"/>
      <c r="I51" s="211" t="s">
        <v>144</v>
      </c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15"/>
      <c r="AY51" s="209"/>
      <c r="AZ51" s="164"/>
      <c r="BA51" s="217"/>
      <c r="BB51" s="166"/>
      <c r="BC51" s="166"/>
      <c r="BD51" s="166"/>
      <c r="BE51" s="166"/>
      <c r="BF51" s="166"/>
      <c r="BG51" s="166"/>
    </row>
    <row r="52" ht="12.0" customHeight="1">
      <c r="A52" s="212">
        <v>46098.0</v>
      </c>
      <c r="B52" s="102"/>
      <c r="C52" s="102"/>
      <c r="D52" s="102"/>
      <c r="E52" s="102"/>
      <c r="F52" s="102"/>
      <c r="G52" s="102"/>
      <c r="H52" s="115"/>
      <c r="I52" s="213" t="s">
        <v>147</v>
      </c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15"/>
      <c r="AY52" s="209"/>
      <c r="AZ52" s="164"/>
      <c r="BA52" s="166"/>
      <c r="BB52" s="166"/>
      <c r="BC52" s="166"/>
      <c r="BD52" s="166"/>
      <c r="BE52" s="166"/>
      <c r="BF52" s="166"/>
      <c r="BG52" s="166"/>
    </row>
    <row r="53" ht="12.0" customHeight="1">
      <c r="A53" s="220" t="s">
        <v>149</v>
      </c>
      <c r="B53" s="102"/>
      <c r="C53" s="102"/>
      <c r="D53" s="102"/>
      <c r="E53" s="102"/>
      <c r="F53" s="102"/>
      <c r="G53" s="102"/>
      <c r="H53" s="115"/>
      <c r="I53" s="223" t="s">
        <v>150</v>
      </c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15"/>
      <c r="AY53" s="224"/>
      <c r="AZ53" s="141"/>
      <c r="BA53" s="225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/>
      <c r="BM53" s="225"/>
      <c r="BN53" s="225"/>
      <c r="BO53" s="225"/>
      <c r="BP53" s="225"/>
      <c r="BQ53" s="225"/>
      <c r="BR53" s="225"/>
      <c r="BS53" s="225"/>
      <c r="BT53" s="225"/>
      <c r="BU53" s="225"/>
      <c r="BV53" s="225"/>
      <c r="BW53" s="225"/>
      <c r="BX53" s="225"/>
      <c r="BY53" s="225"/>
      <c r="BZ53" s="225"/>
    </row>
    <row r="54" ht="12.0" customHeight="1">
      <c r="A54" s="227" t="s">
        <v>154</v>
      </c>
      <c r="B54" s="102"/>
      <c r="C54" s="102"/>
      <c r="D54" s="102"/>
      <c r="E54" s="102"/>
      <c r="F54" s="102"/>
      <c r="G54" s="102"/>
      <c r="H54" s="115"/>
      <c r="I54" s="191" t="s">
        <v>155</v>
      </c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15"/>
      <c r="AY54" s="210"/>
      <c r="AZ54" s="164"/>
    </row>
    <row r="55" ht="12.0" customHeight="1">
      <c r="A55" s="220" t="s">
        <v>157</v>
      </c>
      <c r="B55" s="102"/>
      <c r="C55" s="102"/>
      <c r="D55" s="102"/>
      <c r="E55" s="102"/>
      <c r="F55" s="102"/>
      <c r="G55" s="102"/>
      <c r="H55" s="230"/>
      <c r="I55" s="231" t="s">
        <v>159</v>
      </c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15"/>
      <c r="AY55" s="209"/>
      <c r="AZ55" s="164"/>
    </row>
    <row r="56" ht="12.0" customHeight="1">
      <c r="A56" s="220" t="s">
        <v>157</v>
      </c>
      <c r="B56" s="102"/>
      <c r="C56" s="102"/>
      <c r="D56" s="102"/>
      <c r="E56" s="102"/>
      <c r="F56" s="102"/>
      <c r="G56" s="102"/>
      <c r="H56" s="230"/>
      <c r="I56" s="234" t="s">
        <v>161</v>
      </c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15"/>
      <c r="AY56" s="209"/>
      <c r="AZ56" s="164"/>
    </row>
    <row r="57" ht="12.0" customHeight="1">
      <c r="A57" s="237" t="s">
        <v>163</v>
      </c>
      <c r="B57" s="137"/>
      <c r="C57" s="137"/>
      <c r="D57" s="137"/>
      <c r="E57" s="137"/>
      <c r="F57" s="137"/>
      <c r="G57" s="137"/>
      <c r="H57" s="138"/>
      <c r="I57" s="202" t="s">
        <v>57</v>
      </c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15"/>
      <c r="AY57" s="209"/>
      <c r="AZ57" s="164"/>
      <c r="BA57" s="166"/>
      <c r="BB57" s="166"/>
      <c r="BC57" s="166"/>
      <c r="BD57" s="166"/>
      <c r="BE57" s="166"/>
      <c r="BF57" s="166"/>
      <c r="BG57" s="166"/>
    </row>
    <row r="58" ht="12.0" customHeight="1">
      <c r="A58" s="220" t="s">
        <v>165</v>
      </c>
      <c r="B58" s="102"/>
      <c r="C58" s="102"/>
      <c r="D58" s="102"/>
      <c r="E58" s="102"/>
      <c r="F58" s="102"/>
      <c r="G58" s="102"/>
      <c r="H58" s="115"/>
      <c r="I58" s="242" t="s">
        <v>167</v>
      </c>
      <c r="J58" s="102"/>
      <c r="K58" s="102"/>
      <c r="L58" s="102"/>
      <c r="M58" s="102"/>
      <c r="N58" s="102"/>
      <c r="O58" s="102"/>
      <c r="P58" s="243"/>
      <c r="Q58" s="243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15"/>
      <c r="AY58" s="209"/>
      <c r="AZ58" s="164"/>
      <c r="BA58" s="166"/>
      <c r="BB58" s="166"/>
      <c r="BC58" s="166"/>
      <c r="BD58" s="166"/>
      <c r="BE58" s="166"/>
      <c r="BF58" s="166"/>
      <c r="BG58" s="166"/>
    </row>
    <row r="59" ht="12.0" customHeight="1">
      <c r="A59" s="220" t="s">
        <v>169</v>
      </c>
      <c r="B59" s="102"/>
      <c r="C59" s="102"/>
      <c r="D59" s="102"/>
      <c r="E59" s="102"/>
      <c r="F59" s="102"/>
      <c r="G59" s="102"/>
      <c r="H59" s="230"/>
      <c r="I59" s="231" t="s">
        <v>170</v>
      </c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15"/>
      <c r="AY59" s="209"/>
      <c r="AZ59" s="164"/>
    </row>
    <row r="60" ht="12.0" customHeight="1">
      <c r="A60" s="247">
        <v>46146.0</v>
      </c>
      <c r="B60" s="102"/>
      <c r="C60" s="102"/>
      <c r="D60" s="102"/>
      <c r="E60" s="102"/>
      <c r="F60" s="102"/>
      <c r="G60" s="102"/>
      <c r="H60" s="115"/>
      <c r="I60" s="248" t="s">
        <v>93</v>
      </c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15"/>
      <c r="AY60" s="210"/>
      <c r="AZ60" s="164"/>
      <c r="BA60" s="166"/>
      <c r="BB60" s="166"/>
      <c r="BC60" s="166"/>
      <c r="BD60" s="166"/>
      <c r="BE60" s="166"/>
      <c r="BF60" s="166"/>
      <c r="BG60" s="166"/>
    </row>
    <row r="61" ht="12.0" customHeight="1">
      <c r="A61" s="247">
        <v>46146.0</v>
      </c>
      <c r="B61" s="102"/>
      <c r="C61" s="102"/>
      <c r="D61" s="102"/>
      <c r="E61" s="102"/>
      <c r="F61" s="102"/>
      <c r="G61" s="102"/>
      <c r="H61" s="115"/>
      <c r="I61" s="211" t="s">
        <v>95</v>
      </c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15"/>
      <c r="AY61" s="249"/>
      <c r="AZ61" s="164"/>
      <c r="BA61" s="166"/>
      <c r="BB61" s="166"/>
      <c r="BC61" s="166"/>
      <c r="BD61" s="166"/>
      <c r="BE61" s="166"/>
      <c r="BF61" s="166"/>
      <c r="BG61" s="166"/>
    </row>
    <row r="62" ht="12.0" customHeight="1">
      <c r="A62" s="247">
        <v>46146.0</v>
      </c>
      <c r="B62" s="102"/>
      <c r="C62" s="102"/>
      <c r="D62" s="102"/>
      <c r="E62" s="102"/>
      <c r="F62" s="102"/>
      <c r="G62" s="102"/>
      <c r="H62" s="115"/>
      <c r="I62" s="211" t="s">
        <v>96</v>
      </c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15"/>
      <c r="AY62" s="210"/>
      <c r="AZ62" s="164"/>
      <c r="BA62" s="166"/>
      <c r="BB62" s="166"/>
      <c r="BC62" s="166"/>
      <c r="BD62" s="166"/>
      <c r="BE62" s="166"/>
      <c r="BF62" s="166"/>
      <c r="BG62" s="166"/>
    </row>
    <row r="63" ht="12.0" customHeight="1">
      <c r="A63" s="237" t="s">
        <v>171</v>
      </c>
      <c r="B63" s="137"/>
      <c r="C63" s="137"/>
      <c r="D63" s="137"/>
      <c r="E63" s="137"/>
      <c r="F63" s="137"/>
      <c r="G63" s="137"/>
      <c r="H63" s="138"/>
      <c r="I63" s="202" t="s">
        <v>57</v>
      </c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15"/>
      <c r="AY63" s="209"/>
      <c r="AZ63" s="164"/>
      <c r="BA63" s="166"/>
      <c r="BB63" s="166"/>
      <c r="BC63" s="166"/>
      <c r="BD63" s="166"/>
      <c r="BE63" s="166"/>
      <c r="BF63" s="166"/>
      <c r="BG63" s="166"/>
    </row>
    <row r="64" ht="12.0" customHeight="1">
      <c r="A64" s="247" t="s">
        <v>172</v>
      </c>
      <c r="B64" s="102"/>
      <c r="C64" s="102"/>
      <c r="D64" s="102"/>
      <c r="E64" s="102"/>
      <c r="F64" s="102"/>
      <c r="G64" s="102"/>
      <c r="H64" s="115"/>
      <c r="I64" s="248" t="s">
        <v>173</v>
      </c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15"/>
      <c r="AY64" s="249"/>
      <c r="AZ64" s="164"/>
      <c r="BA64" s="166"/>
      <c r="BB64" s="166"/>
      <c r="BC64" s="166"/>
      <c r="BD64" s="166"/>
      <c r="BE64" s="166"/>
      <c r="BF64" s="166"/>
      <c r="BG64" s="166"/>
    </row>
    <row r="65" ht="12.0" customHeight="1">
      <c r="A65" s="201" t="s">
        <v>174</v>
      </c>
      <c r="B65" s="102"/>
      <c r="C65" s="102"/>
      <c r="D65" s="102"/>
      <c r="E65" s="102"/>
      <c r="F65" s="102"/>
      <c r="G65" s="102"/>
      <c r="H65" s="115"/>
      <c r="I65" s="211" t="s">
        <v>175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15"/>
      <c r="AY65" s="224"/>
      <c r="AZ65" s="141"/>
      <c r="BA65" s="73"/>
      <c r="BB65" s="73"/>
      <c r="BC65" s="73"/>
      <c r="BD65" s="73"/>
      <c r="BE65" s="73"/>
      <c r="BF65" s="73"/>
      <c r="BG65" s="73"/>
      <c r="BH65" s="225"/>
      <c r="BI65" s="225"/>
      <c r="BJ65" s="225"/>
      <c r="BK65" s="225"/>
      <c r="BL65" s="225"/>
      <c r="BM65" s="225"/>
      <c r="BN65" s="225"/>
      <c r="BO65" s="225"/>
      <c r="BP65" s="225"/>
      <c r="BQ65" s="225"/>
      <c r="BR65" s="225"/>
      <c r="BS65" s="225"/>
      <c r="BT65" s="225"/>
      <c r="BU65" s="225"/>
      <c r="BV65" s="225"/>
      <c r="BW65" s="225"/>
      <c r="BX65" s="225"/>
      <c r="BY65" s="225"/>
      <c r="BZ65" s="225"/>
    </row>
    <row r="66" ht="12.0" customHeight="1">
      <c r="A66" s="201" t="s">
        <v>176</v>
      </c>
      <c r="B66" s="102"/>
      <c r="C66" s="102"/>
      <c r="D66" s="102"/>
      <c r="E66" s="102"/>
      <c r="F66" s="102"/>
      <c r="G66" s="102"/>
      <c r="H66" s="115"/>
      <c r="I66" s="213" t="s">
        <v>177</v>
      </c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15"/>
      <c r="AY66" s="250"/>
      <c r="AZ66" s="164"/>
      <c r="BA66" s="166"/>
      <c r="BB66" s="166"/>
      <c r="BC66" s="166"/>
      <c r="BD66" s="166"/>
      <c r="BE66" s="166"/>
      <c r="BF66" s="166"/>
      <c r="BG66" s="166"/>
    </row>
    <row r="67" ht="12.0" customHeight="1">
      <c r="A67" s="251" t="s">
        <v>178</v>
      </c>
      <c r="B67" s="102"/>
      <c r="C67" s="102"/>
      <c r="D67" s="102"/>
      <c r="E67" s="102"/>
      <c r="F67" s="102"/>
      <c r="G67" s="102"/>
      <c r="H67" s="115"/>
      <c r="I67" s="252" t="s">
        <v>179</v>
      </c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15"/>
      <c r="AZ67" s="141"/>
      <c r="BA67" s="73"/>
      <c r="BB67" s="73"/>
      <c r="BC67" s="73"/>
      <c r="BD67" s="73"/>
      <c r="BE67" s="73"/>
      <c r="BF67" s="73"/>
      <c r="BG67" s="73"/>
      <c r="BH67" s="225"/>
      <c r="BI67" s="225"/>
      <c r="BJ67" s="225"/>
      <c r="BK67" s="225"/>
      <c r="BL67" s="225"/>
      <c r="BM67" s="225"/>
      <c r="BN67" s="225"/>
      <c r="BO67" s="225"/>
      <c r="BP67" s="225"/>
      <c r="BQ67" s="225"/>
      <c r="BR67" s="225"/>
      <c r="BS67" s="225"/>
      <c r="BT67" s="225"/>
      <c r="BU67" s="225"/>
      <c r="BV67" s="225"/>
      <c r="BW67" s="225"/>
      <c r="BX67" s="225"/>
      <c r="BY67" s="225"/>
      <c r="BZ67" s="225"/>
    </row>
    <row r="68" ht="12.0" customHeight="1">
      <c r="A68" s="220" t="s">
        <v>180</v>
      </c>
      <c r="B68" s="102"/>
      <c r="C68" s="102"/>
      <c r="D68" s="102"/>
      <c r="E68" s="102"/>
      <c r="F68" s="102"/>
      <c r="G68" s="102"/>
      <c r="H68" s="115"/>
      <c r="I68" s="253" t="s">
        <v>181</v>
      </c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15"/>
      <c r="AY68" s="254"/>
      <c r="AZ68" s="164"/>
      <c r="BA68" s="166"/>
      <c r="BB68" s="166"/>
      <c r="BC68" s="166"/>
      <c r="BD68" s="166"/>
      <c r="BE68" s="166"/>
      <c r="BF68" s="166"/>
      <c r="BG68" s="166"/>
    </row>
    <row r="69" ht="12.0" customHeight="1">
      <c r="A69" s="212">
        <v>46190.0</v>
      </c>
      <c r="B69" s="102"/>
      <c r="C69" s="102"/>
      <c r="D69" s="102"/>
      <c r="E69" s="102"/>
      <c r="F69" s="102"/>
      <c r="G69" s="102"/>
      <c r="H69" s="115"/>
      <c r="I69" s="202" t="s">
        <v>182</v>
      </c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15"/>
      <c r="AY69" s="210"/>
      <c r="AZ69" s="164"/>
      <c r="BA69" s="166"/>
      <c r="BB69" s="166"/>
      <c r="BC69" s="166"/>
      <c r="BD69" s="166"/>
      <c r="BE69" s="166"/>
      <c r="BF69" s="166"/>
      <c r="BG69" s="166"/>
    </row>
    <row r="70" ht="12.0" customHeight="1">
      <c r="A70" s="212">
        <v>46209.0</v>
      </c>
      <c r="B70" s="102"/>
      <c r="C70" s="102"/>
      <c r="D70" s="102"/>
      <c r="E70" s="102"/>
      <c r="F70" s="102"/>
      <c r="G70" s="102"/>
      <c r="H70" s="115"/>
      <c r="I70" s="213" t="s">
        <v>183</v>
      </c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15"/>
      <c r="AY70" s="210"/>
      <c r="AZ70" s="164"/>
      <c r="BA70" s="166"/>
      <c r="BB70" s="166"/>
      <c r="BC70" s="166"/>
      <c r="BD70" s="166"/>
      <c r="BE70" s="166"/>
      <c r="BF70" s="166"/>
      <c r="BG70" s="166"/>
    </row>
    <row r="71" ht="12.0" customHeight="1">
      <c r="A71" s="255"/>
      <c r="B71" s="102"/>
      <c r="C71" s="102"/>
      <c r="D71" s="102"/>
      <c r="E71" s="102"/>
      <c r="F71" s="102"/>
      <c r="G71" s="102"/>
      <c r="H71" s="115"/>
      <c r="I71" s="256" t="s">
        <v>184</v>
      </c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15"/>
      <c r="AY71" s="254"/>
      <c r="AZ71" s="141"/>
      <c r="BA71" s="73"/>
      <c r="BB71" s="73"/>
      <c r="BC71" s="73"/>
      <c r="BD71" s="73"/>
      <c r="BE71" s="73"/>
      <c r="BF71" s="73"/>
      <c r="BG71" s="73"/>
      <c r="BH71" s="225"/>
      <c r="BI71" s="225"/>
      <c r="BJ71" s="225"/>
      <c r="BK71" s="225"/>
      <c r="BL71" s="225"/>
      <c r="BM71" s="225"/>
      <c r="BN71" s="225"/>
      <c r="BO71" s="225"/>
      <c r="BP71" s="225"/>
      <c r="BQ71" s="225"/>
      <c r="BR71" s="225"/>
      <c r="BS71" s="225"/>
      <c r="BT71" s="225"/>
      <c r="BU71" s="225"/>
      <c r="BV71" s="225"/>
      <c r="BW71" s="225"/>
      <c r="BX71" s="225"/>
      <c r="BY71" s="225"/>
      <c r="BZ71" s="225"/>
    </row>
    <row r="72" ht="12.0" customHeight="1">
      <c r="A72" s="212">
        <v>46209.0</v>
      </c>
      <c r="B72" s="102"/>
      <c r="C72" s="102"/>
      <c r="D72" s="102"/>
      <c r="E72" s="102"/>
      <c r="F72" s="102"/>
      <c r="G72" s="102"/>
      <c r="H72" s="115"/>
      <c r="I72" s="202" t="s">
        <v>185</v>
      </c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15"/>
      <c r="AY72" s="209"/>
      <c r="AZ72" s="164"/>
      <c r="BA72" s="166"/>
      <c r="BB72" s="166"/>
      <c r="BC72" s="166"/>
      <c r="BD72" s="166"/>
      <c r="BE72" s="166"/>
      <c r="BF72" s="166"/>
      <c r="BG72" s="166"/>
    </row>
    <row r="73" ht="12.0" customHeight="1">
      <c r="A73" s="237" t="s">
        <v>186</v>
      </c>
      <c r="B73" s="137"/>
      <c r="C73" s="137"/>
      <c r="D73" s="137"/>
      <c r="E73" s="137"/>
      <c r="F73" s="137"/>
      <c r="G73" s="137"/>
      <c r="H73" s="138"/>
      <c r="I73" s="211" t="s">
        <v>187</v>
      </c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15"/>
      <c r="AY73" s="209"/>
      <c r="AZ73" s="164"/>
      <c r="BA73" s="166"/>
      <c r="BB73" s="166"/>
      <c r="BC73" s="166"/>
      <c r="BD73" s="166"/>
      <c r="BE73" s="166"/>
      <c r="BF73" s="166"/>
      <c r="BG73" s="166"/>
    </row>
    <row r="74" ht="11.25" customHeight="1">
      <c r="A74" s="212">
        <v>46220.0</v>
      </c>
      <c r="B74" s="102"/>
      <c r="C74" s="102"/>
      <c r="D74" s="102"/>
      <c r="E74" s="102"/>
      <c r="F74" s="102"/>
      <c r="G74" s="102"/>
      <c r="H74" s="115"/>
      <c r="I74" s="213" t="s">
        <v>188</v>
      </c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15"/>
      <c r="AY74" s="209"/>
      <c r="AZ74" s="164"/>
    </row>
    <row r="75" ht="12.0" customHeight="1">
      <c r="A75" s="247">
        <v>46220.0</v>
      </c>
      <c r="B75" s="102"/>
      <c r="C75" s="102"/>
      <c r="D75" s="102"/>
      <c r="E75" s="102"/>
      <c r="F75" s="102"/>
      <c r="G75" s="102"/>
      <c r="H75" s="230"/>
      <c r="I75" s="257" t="s">
        <v>162</v>
      </c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230"/>
      <c r="AY75" s="209"/>
      <c r="AZ75" s="164"/>
      <c r="BA75" s="166"/>
      <c r="BB75" s="166"/>
      <c r="BC75" s="166"/>
      <c r="BD75" s="166"/>
      <c r="BE75" s="166"/>
      <c r="BF75" s="166"/>
      <c r="BG75" s="166"/>
    </row>
    <row r="76" ht="12.0" customHeight="1">
      <c r="A76" s="220" t="s">
        <v>189</v>
      </c>
      <c r="B76" s="102"/>
      <c r="C76" s="102"/>
      <c r="D76" s="102"/>
      <c r="E76" s="102"/>
      <c r="F76" s="102"/>
      <c r="G76" s="102"/>
      <c r="H76" s="115"/>
      <c r="I76" s="253" t="s">
        <v>146</v>
      </c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15"/>
      <c r="AY76" s="209"/>
      <c r="AZ76" s="164"/>
      <c r="BA76" s="166"/>
      <c r="BB76" s="166"/>
      <c r="BC76" s="166"/>
      <c r="BD76" s="166"/>
      <c r="BE76" s="166"/>
      <c r="BF76" s="166"/>
      <c r="BG76" s="166"/>
    </row>
    <row r="77" ht="12.0" customHeight="1">
      <c r="A77" s="237" t="s">
        <v>190</v>
      </c>
      <c r="B77" s="137"/>
      <c r="C77" s="137"/>
      <c r="D77" s="137"/>
      <c r="E77" s="137"/>
      <c r="F77" s="137"/>
      <c r="G77" s="137"/>
      <c r="H77" s="138"/>
      <c r="I77" s="202" t="s">
        <v>57</v>
      </c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15"/>
      <c r="AY77" s="209"/>
      <c r="AZ77" s="141"/>
      <c r="BA77" s="73"/>
      <c r="BB77" s="73"/>
      <c r="BC77" s="73"/>
      <c r="BD77" s="73"/>
      <c r="BE77" s="73"/>
      <c r="BF77" s="73"/>
      <c r="BG77" s="73"/>
      <c r="BH77" s="225"/>
      <c r="BI77" s="225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25"/>
      <c r="BZ77" s="225"/>
    </row>
    <row r="78" ht="12.0" customHeight="1">
      <c r="A78" s="201"/>
      <c r="B78" s="102"/>
      <c r="C78" s="102"/>
      <c r="D78" s="102"/>
      <c r="E78" s="102"/>
      <c r="F78" s="102"/>
      <c r="G78" s="102"/>
      <c r="H78" s="115"/>
      <c r="I78" s="211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15"/>
      <c r="AY78" s="254"/>
      <c r="AZ78" s="164"/>
      <c r="BA78" s="166"/>
      <c r="BB78" s="166"/>
      <c r="BC78" s="166"/>
      <c r="BD78" s="166"/>
      <c r="BE78" s="166"/>
      <c r="BF78" s="166"/>
      <c r="BG78" s="166"/>
    </row>
    <row r="79" ht="12.0" customHeight="1">
      <c r="A79" s="237" t="s">
        <v>191</v>
      </c>
      <c r="B79" s="137"/>
      <c r="C79" s="137"/>
      <c r="D79" s="137"/>
      <c r="E79" s="137"/>
      <c r="F79" s="137"/>
      <c r="G79" s="137"/>
      <c r="H79" s="138"/>
      <c r="I79" s="202" t="s">
        <v>57</v>
      </c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15"/>
      <c r="AY79" s="209"/>
      <c r="AZ79" s="164"/>
      <c r="BA79" s="166"/>
      <c r="BB79" s="166"/>
      <c r="BC79" s="166"/>
      <c r="BD79" s="166"/>
      <c r="BE79" s="166"/>
      <c r="BF79" s="166"/>
      <c r="BG79" s="166"/>
    </row>
    <row r="80" ht="12.0" customHeight="1">
      <c r="A80" s="258" t="s">
        <v>192</v>
      </c>
      <c r="B80" s="102"/>
      <c r="C80" s="102"/>
      <c r="D80" s="102"/>
      <c r="E80" s="102"/>
      <c r="F80" s="102"/>
      <c r="G80" s="102"/>
      <c r="H80" s="259"/>
      <c r="I80" s="260" t="s">
        <v>193</v>
      </c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  <c r="AA80" s="261"/>
      <c r="AB80" s="261"/>
      <c r="AC80" s="261"/>
      <c r="AD80" s="261"/>
      <c r="AE80" s="261"/>
      <c r="AF80" s="261"/>
      <c r="AG80" s="261"/>
      <c r="AH80" s="261"/>
      <c r="AI80" s="261"/>
      <c r="AJ80" s="261"/>
      <c r="AK80" s="261"/>
      <c r="AL80" s="261"/>
      <c r="AM80" s="261"/>
      <c r="AN80" s="261"/>
      <c r="AO80" s="261"/>
      <c r="AP80" s="261"/>
      <c r="AQ80" s="261"/>
      <c r="AR80" s="261"/>
      <c r="AS80" s="261"/>
      <c r="AT80" s="261"/>
      <c r="AU80" s="261"/>
      <c r="AV80" s="261"/>
      <c r="AW80" s="261"/>
      <c r="AX80" s="262"/>
      <c r="AY80" s="209"/>
      <c r="AZ80" s="164"/>
      <c r="BA80" s="166"/>
      <c r="BB80" s="166"/>
      <c r="BC80" s="166"/>
      <c r="BD80" s="166"/>
      <c r="BE80" s="166"/>
      <c r="BF80" s="166"/>
      <c r="BG80" s="166"/>
    </row>
    <row r="81" ht="12.0" customHeight="1">
      <c r="A81" s="220" t="s">
        <v>194</v>
      </c>
      <c r="B81" s="102"/>
      <c r="C81" s="102"/>
      <c r="D81" s="102"/>
      <c r="E81" s="102"/>
      <c r="F81" s="102"/>
      <c r="G81" s="102"/>
      <c r="H81" s="263"/>
      <c r="I81" s="264" t="s">
        <v>195</v>
      </c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243"/>
      <c r="AR81" s="243"/>
      <c r="AS81" s="243"/>
      <c r="AT81" s="243"/>
      <c r="AU81" s="243"/>
      <c r="AV81" s="243"/>
      <c r="AW81" s="243"/>
      <c r="AX81" s="263"/>
      <c r="AY81" s="209"/>
      <c r="AZ81" s="164"/>
      <c r="BA81" s="166"/>
      <c r="BB81" s="166"/>
      <c r="BC81" s="166"/>
      <c r="BD81" s="166"/>
      <c r="BE81" s="166"/>
      <c r="BF81" s="166"/>
      <c r="BG81" s="166"/>
    </row>
    <row r="82" ht="12.0" customHeight="1">
      <c r="A82" s="247">
        <v>46295.0</v>
      </c>
      <c r="B82" s="102"/>
      <c r="C82" s="102"/>
      <c r="D82" s="102"/>
      <c r="E82" s="102"/>
      <c r="F82" s="102"/>
      <c r="G82" s="102"/>
      <c r="H82" s="259"/>
      <c r="I82" s="265" t="s">
        <v>196</v>
      </c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1"/>
      <c r="AQ82" s="261"/>
      <c r="AR82" s="261"/>
      <c r="AS82" s="261"/>
      <c r="AT82" s="261"/>
      <c r="AU82" s="261"/>
      <c r="AV82" s="261"/>
      <c r="AW82" s="261"/>
      <c r="AX82" s="262"/>
      <c r="AY82" s="209"/>
      <c r="AZ82" s="164"/>
      <c r="BA82" s="166"/>
      <c r="BB82" s="166"/>
      <c r="BC82" s="166"/>
      <c r="BD82" s="166"/>
      <c r="BE82" s="166"/>
      <c r="BF82" s="166"/>
      <c r="BG82" s="166"/>
    </row>
    <row r="83" ht="12.0" customHeight="1">
      <c r="A83" s="212">
        <v>46315.0</v>
      </c>
      <c r="B83" s="102"/>
      <c r="C83" s="102"/>
      <c r="D83" s="102"/>
      <c r="E83" s="102"/>
      <c r="F83" s="102"/>
      <c r="G83" s="102"/>
      <c r="H83" s="115"/>
      <c r="I83" s="202" t="s">
        <v>197</v>
      </c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15"/>
      <c r="AY83" s="210"/>
      <c r="AZ83" s="141"/>
      <c r="BA83" s="73"/>
      <c r="BB83" s="73"/>
      <c r="BC83" s="73"/>
      <c r="BD83" s="73"/>
      <c r="BE83" s="73"/>
      <c r="BF83" s="73"/>
      <c r="BG83" s="73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5"/>
      <c r="BS83" s="225"/>
      <c r="BT83" s="225"/>
      <c r="BU83" s="225"/>
      <c r="BV83" s="225"/>
      <c r="BW83" s="225"/>
      <c r="BX83" s="225"/>
      <c r="BY83" s="225"/>
      <c r="BZ83" s="225"/>
    </row>
    <row r="84" ht="12.0" customHeight="1">
      <c r="A84" s="266">
        <v>46315.0</v>
      </c>
      <c r="B84" s="102"/>
      <c r="C84" s="102"/>
      <c r="D84" s="102"/>
      <c r="E84" s="102"/>
      <c r="F84" s="102"/>
      <c r="G84" s="102"/>
      <c r="H84" s="115"/>
      <c r="I84" s="256" t="s">
        <v>198</v>
      </c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15"/>
      <c r="AY84" s="267"/>
      <c r="AZ84" s="268"/>
      <c r="BA84" s="269"/>
      <c r="BB84" s="269"/>
      <c r="BC84" s="269"/>
      <c r="BD84" s="269"/>
      <c r="BE84" s="269"/>
      <c r="BF84" s="269"/>
      <c r="BG84" s="269"/>
      <c r="BH84" s="270"/>
      <c r="BI84" s="270"/>
      <c r="BJ84" s="270"/>
      <c r="BK84" s="270"/>
      <c r="BL84" s="270"/>
      <c r="BM84" s="270"/>
      <c r="BN84" s="270"/>
      <c r="BO84" s="270"/>
      <c r="BP84" s="270"/>
      <c r="BQ84" s="270"/>
      <c r="BR84" s="270"/>
      <c r="BS84" s="270"/>
      <c r="BT84" s="270"/>
      <c r="BU84" s="270"/>
      <c r="BV84" s="270"/>
      <c r="BW84" s="270"/>
      <c r="BX84" s="270"/>
      <c r="BY84" s="270"/>
      <c r="BZ84" s="270"/>
    </row>
    <row r="85" ht="12.0" customHeight="1">
      <c r="A85" s="266"/>
      <c r="B85" s="102"/>
      <c r="C85" s="102"/>
      <c r="D85" s="102"/>
      <c r="E85" s="102"/>
      <c r="F85" s="102"/>
      <c r="G85" s="102"/>
      <c r="H85" s="115"/>
      <c r="I85" s="271" t="s">
        <v>184</v>
      </c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15"/>
      <c r="AY85" s="209"/>
      <c r="AZ85" s="164"/>
      <c r="BA85" s="166"/>
      <c r="BB85" s="166"/>
      <c r="BC85" s="166"/>
      <c r="BD85" s="166"/>
      <c r="BE85" s="166"/>
      <c r="BF85" s="166"/>
      <c r="BG85" s="166"/>
    </row>
    <row r="86" ht="12.0" customHeight="1">
      <c r="A86" s="212">
        <v>46316.0</v>
      </c>
      <c r="B86" s="102"/>
      <c r="C86" s="102"/>
      <c r="D86" s="102"/>
      <c r="E86" s="102"/>
      <c r="F86" s="102"/>
      <c r="G86" s="102"/>
      <c r="H86" s="115"/>
      <c r="I86" s="202" t="s">
        <v>199</v>
      </c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15"/>
      <c r="AY86" s="209"/>
      <c r="AZ86" s="164"/>
      <c r="BA86" s="166"/>
      <c r="BB86" s="166"/>
      <c r="BC86" s="166"/>
      <c r="BD86" s="166"/>
      <c r="BE86" s="166"/>
      <c r="BF86" s="166"/>
      <c r="BG86" s="166"/>
    </row>
    <row r="87" ht="12.0" customHeight="1">
      <c r="A87" s="201" t="s">
        <v>200</v>
      </c>
      <c r="B87" s="102"/>
      <c r="C87" s="102"/>
      <c r="D87" s="102"/>
      <c r="E87" s="102"/>
      <c r="F87" s="102"/>
      <c r="G87" s="102"/>
      <c r="H87" s="115"/>
      <c r="I87" s="211" t="s">
        <v>201</v>
      </c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15"/>
      <c r="AY87" s="209"/>
      <c r="AZ87" s="164"/>
    </row>
    <row r="88" ht="12.0" customHeight="1">
      <c r="A88" s="220" t="s">
        <v>202</v>
      </c>
      <c r="B88" s="102"/>
      <c r="C88" s="102"/>
      <c r="D88" s="102"/>
      <c r="E88" s="102"/>
      <c r="F88" s="102"/>
      <c r="G88" s="102"/>
      <c r="H88" s="230"/>
      <c r="I88" s="231" t="s">
        <v>203</v>
      </c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15"/>
      <c r="AY88" s="209"/>
      <c r="AZ88" s="164"/>
      <c r="BA88" s="166"/>
      <c r="BB88" s="166"/>
      <c r="BC88" s="166"/>
      <c r="BD88" s="166"/>
      <c r="BE88" s="166"/>
      <c r="BF88" s="166"/>
      <c r="BG88" s="166"/>
    </row>
    <row r="89" ht="12.0" customHeight="1">
      <c r="A89" s="212">
        <v>46339.0</v>
      </c>
      <c r="B89" s="102"/>
      <c r="C89" s="102"/>
      <c r="D89" s="102"/>
      <c r="E89" s="102"/>
      <c r="F89" s="102"/>
      <c r="G89" s="102"/>
      <c r="H89" s="115"/>
      <c r="I89" s="213" t="s">
        <v>204</v>
      </c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15"/>
      <c r="AY89" s="272"/>
      <c r="AZ89" s="164"/>
      <c r="BA89" s="166"/>
      <c r="BB89" s="166"/>
      <c r="BC89" s="166"/>
      <c r="BD89" s="166"/>
      <c r="BE89" s="166"/>
      <c r="BF89" s="166"/>
      <c r="BG89" s="166"/>
    </row>
    <row r="90" ht="12.0" customHeight="1">
      <c r="A90" s="214" t="s">
        <v>205</v>
      </c>
      <c r="B90" s="102"/>
      <c r="C90" s="102"/>
      <c r="D90" s="102"/>
      <c r="E90" s="102"/>
      <c r="F90" s="102"/>
      <c r="G90" s="102"/>
      <c r="H90" s="263"/>
      <c r="I90" s="260" t="s">
        <v>151</v>
      </c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  <c r="AJ90" s="273"/>
      <c r="AK90" s="273"/>
      <c r="AL90" s="273"/>
      <c r="AM90" s="273"/>
      <c r="AN90" s="273"/>
      <c r="AO90" s="273"/>
      <c r="AP90" s="273"/>
      <c r="AQ90" s="273"/>
      <c r="AR90" s="273"/>
      <c r="AS90" s="273"/>
      <c r="AT90" s="273"/>
      <c r="AU90" s="273"/>
      <c r="AV90" s="273"/>
      <c r="AW90" s="273"/>
      <c r="AX90" s="274"/>
      <c r="AY90" s="209"/>
      <c r="AZ90" s="164"/>
    </row>
    <row r="91" ht="12.0" customHeight="1">
      <c r="A91" s="220" t="s">
        <v>206</v>
      </c>
      <c r="B91" s="102"/>
      <c r="C91" s="102"/>
      <c r="D91" s="102"/>
      <c r="E91" s="102"/>
      <c r="F91" s="102"/>
      <c r="G91" s="102"/>
      <c r="H91" s="230"/>
      <c r="I91" s="231" t="s">
        <v>207</v>
      </c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15"/>
      <c r="AY91" s="209"/>
      <c r="AZ91" s="141"/>
      <c r="BA91" s="73"/>
      <c r="BB91" s="73"/>
      <c r="BC91" s="73"/>
      <c r="BD91" s="73"/>
      <c r="BE91" s="73"/>
      <c r="BF91" s="73"/>
      <c r="BG91" s="73"/>
      <c r="BH91" s="225"/>
      <c r="BI91" s="225"/>
      <c r="BJ91" s="225"/>
      <c r="BK91" s="225"/>
      <c r="BL91" s="225"/>
      <c r="BM91" s="225"/>
      <c r="BN91" s="225"/>
      <c r="BO91" s="225"/>
      <c r="BP91" s="225"/>
      <c r="BQ91" s="225"/>
      <c r="BR91" s="225"/>
      <c r="BS91" s="225"/>
      <c r="BT91" s="225"/>
      <c r="BU91" s="225"/>
      <c r="BV91" s="225"/>
      <c r="BW91" s="225"/>
      <c r="BX91" s="225"/>
      <c r="BY91" s="225"/>
      <c r="BZ91" s="225"/>
    </row>
    <row r="92" ht="12.0" customHeight="1">
      <c r="A92" s="247">
        <v>46329.0</v>
      </c>
      <c r="B92" s="102"/>
      <c r="C92" s="102"/>
      <c r="D92" s="102"/>
      <c r="E92" s="102"/>
      <c r="F92" s="102"/>
      <c r="G92" s="102"/>
      <c r="H92" s="230"/>
      <c r="I92" s="275" t="s">
        <v>164</v>
      </c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15"/>
      <c r="AY92" s="254"/>
      <c r="AZ92" s="141"/>
      <c r="BA92" s="73"/>
      <c r="BB92" s="73"/>
      <c r="BC92" s="73"/>
      <c r="BD92" s="73"/>
      <c r="BE92" s="73"/>
      <c r="BF92" s="73"/>
      <c r="BG92" s="73"/>
      <c r="BH92" s="225"/>
      <c r="BI92" s="225"/>
      <c r="BJ92" s="225"/>
      <c r="BK92" s="225"/>
      <c r="BL92" s="225"/>
      <c r="BM92" s="225"/>
      <c r="BN92" s="225"/>
      <c r="BO92" s="225"/>
      <c r="BP92" s="225"/>
      <c r="BQ92" s="225"/>
      <c r="BR92" s="225"/>
      <c r="BS92" s="225"/>
      <c r="BT92" s="225"/>
      <c r="BU92" s="225"/>
      <c r="BV92" s="225"/>
      <c r="BW92" s="225"/>
      <c r="BX92" s="225"/>
      <c r="BY92" s="225"/>
      <c r="BZ92" s="225"/>
    </row>
    <row r="93" ht="12.0" customHeight="1">
      <c r="A93" s="247">
        <v>46364.0</v>
      </c>
      <c r="B93" s="102"/>
      <c r="C93" s="102"/>
      <c r="D93" s="102"/>
      <c r="E93" s="102"/>
      <c r="F93" s="102"/>
      <c r="G93" s="102"/>
      <c r="H93" s="230"/>
      <c r="I93" s="276" t="s">
        <v>166</v>
      </c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15"/>
      <c r="AY93" s="254"/>
      <c r="AZ93" s="3"/>
      <c r="BA93" s="73"/>
      <c r="BB93" s="73"/>
      <c r="BC93" s="73"/>
      <c r="BD93" s="73"/>
      <c r="BE93" s="73"/>
      <c r="BF93" s="73"/>
      <c r="BG93" s="73"/>
      <c r="BH93" s="225"/>
      <c r="BI93" s="225"/>
      <c r="BJ93" s="225"/>
      <c r="BK93" s="225"/>
      <c r="BL93" s="225"/>
      <c r="BM93" s="225"/>
      <c r="BN93" s="225"/>
      <c r="BO93" s="225"/>
      <c r="BP93" s="225"/>
      <c r="BQ93" s="225"/>
      <c r="BR93" s="225"/>
      <c r="BS93" s="225"/>
      <c r="BT93" s="225"/>
      <c r="BU93" s="225"/>
      <c r="BV93" s="225"/>
      <c r="BW93" s="225"/>
      <c r="BX93" s="225"/>
      <c r="BY93" s="225"/>
      <c r="BZ93" s="225"/>
    </row>
    <row r="94" ht="12.0" customHeight="1">
      <c r="A94" s="247">
        <v>46371.0</v>
      </c>
      <c r="B94" s="102"/>
      <c r="C94" s="102"/>
      <c r="D94" s="102"/>
      <c r="E94" s="102"/>
      <c r="F94" s="102"/>
      <c r="G94" s="102"/>
      <c r="H94" s="230"/>
      <c r="I94" s="275" t="s">
        <v>168</v>
      </c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15"/>
      <c r="AY94" s="233"/>
      <c r="AZ94" s="164"/>
      <c r="BA94" s="166"/>
      <c r="BB94" s="166"/>
      <c r="BC94" s="166"/>
      <c r="BD94" s="166"/>
      <c r="BE94" s="166"/>
      <c r="BF94" s="166"/>
      <c r="BG94" s="166"/>
    </row>
    <row r="95" ht="12.0" customHeight="1">
      <c r="A95" s="237" t="s">
        <v>208</v>
      </c>
      <c r="B95" s="137"/>
      <c r="C95" s="137"/>
      <c r="D95" s="137"/>
      <c r="E95" s="137"/>
      <c r="F95" s="137"/>
      <c r="G95" s="137"/>
      <c r="H95" s="138"/>
      <c r="I95" s="202" t="s">
        <v>57</v>
      </c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15"/>
      <c r="AY95" s="209"/>
      <c r="AZ95" s="141"/>
      <c r="BA95" s="73"/>
      <c r="BB95" s="73"/>
      <c r="BC95" s="73"/>
      <c r="BD95" s="73"/>
      <c r="BE95" s="73"/>
      <c r="BF95" s="73"/>
      <c r="BG95" s="73"/>
      <c r="BH95" s="225"/>
      <c r="BI95" s="225"/>
      <c r="BJ95" s="225"/>
      <c r="BK95" s="225"/>
      <c r="BL95" s="225"/>
      <c r="BM95" s="225"/>
      <c r="BN95" s="225"/>
      <c r="BO95" s="225"/>
      <c r="BP95" s="225"/>
      <c r="BQ95" s="225"/>
      <c r="BR95" s="225"/>
      <c r="BS95" s="225"/>
      <c r="BT95" s="225"/>
      <c r="BU95" s="225"/>
      <c r="BV95" s="225"/>
      <c r="BW95" s="225"/>
      <c r="BX95" s="225"/>
      <c r="BY95" s="225"/>
      <c r="BZ95" s="225"/>
    </row>
    <row r="96" ht="12.0" customHeight="1">
      <c r="A96" s="277" t="s">
        <v>209</v>
      </c>
      <c r="B96" s="102"/>
      <c r="C96" s="102"/>
      <c r="D96" s="102"/>
      <c r="E96" s="102"/>
      <c r="F96" s="102"/>
      <c r="G96" s="102"/>
      <c r="H96" s="230"/>
      <c r="I96" s="276" t="s">
        <v>210</v>
      </c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15"/>
      <c r="AY96" s="254"/>
      <c r="AZ96" s="141"/>
      <c r="BA96" s="73"/>
      <c r="BB96" s="73"/>
      <c r="BC96" s="73"/>
      <c r="BD96" s="73"/>
      <c r="BE96" s="73"/>
      <c r="BF96" s="73"/>
      <c r="BG96" s="73"/>
      <c r="BH96" s="225"/>
      <c r="BI96" s="225"/>
      <c r="BJ96" s="225"/>
      <c r="BK96" s="225"/>
      <c r="BL96" s="225"/>
      <c r="BM96" s="225"/>
      <c r="BN96" s="225"/>
      <c r="BO96" s="225"/>
      <c r="BP96" s="225"/>
      <c r="BQ96" s="225"/>
      <c r="BR96" s="225"/>
      <c r="BS96" s="225"/>
      <c r="BT96" s="225"/>
      <c r="BU96" s="225"/>
      <c r="BV96" s="225"/>
      <c r="BW96" s="225"/>
      <c r="BX96" s="225"/>
      <c r="BY96" s="225"/>
      <c r="BZ96" s="225"/>
    </row>
    <row r="97" ht="12.0" customHeight="1">
      <c r="A97" s="278" t="s">
        <v>211</v>
      </c>
      <c r="B97" s="102"/>
      <c r="C97" s="102"/>
      <c r="D97" s="102"/>
      <c r="E97" s="102"/>
      <c r="F97" s="102"/>
      <c r="G97" s="102"/>
      <c r="H97" s="115"/>
      <c r="I97" s="211" t="s">
        <v>212</v>
      </c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15"/>
      <c r="AY97" s="254"/>
      <c r="AZ97" s="164"/>
      <c r="BA97" s="166"/>
      <c r="BB97" s="166"/>
      <c r="BC97" s="166"/>
      <c r="BD97" s="166"/>
      <c r="BE97" s="166"/>
      <c r="BF97" s="166"/>
      <c r="BG97" s="166"/>
    </row>
    <row r="98" ht="12.0" customHeight="1">
      <c r="A98" s="212">
        <v>46430.0</v>
      </c>
      <c r="B98" s="102"/>
      <c r="C98" s="102"/>
      <c r="D98" s="102"/>
      <c r="E98" s="102"/>
      <c r="F98" s="102"/>
      <c r="G98" s="102"/>
      <c r="H98" s="115"/>
      <c r="I98" s="202" t="s">
        <v>213</v>
      </c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15"/>
      <c r="AY98" s="210"/>
      <c r="AZ98" s="141"/>
      <c r="BA98" s="73"/>
      <c r="BB98" s="73"/>
      <c r="BC98" s="73"/>
      <c r="BD98" s="73"/>
      <c r="BE98" s="73"/>
      <c r="BF98" s="73"/>
      <c r="BG98" s="73"/>
      <c r="BH98" s="225"/>
      <c r="BI98" s="225"/>
      <c r="BJ98" s="225"/>
      <c r="BK98" s="225"/>
      <c r="BL98" s="225"/>
      <c r="BM98" s="225"/>
      <c r="BN98" s="225"/>
      <c r="BO98" s="225"/>
      <c r="BP98" s="225"/>
      <c r="BQ98" s="225"/>
      <c r="BR98" s="225"/>
      <c r="BS98" s="225"/>
      <c r="BT98" s="225"/>
      <c r="BU98" s="225"/>
      <c r="BV98" s="225"/>
      <c r="BW98" s="225"/>
      <c r="BX98" s="225"/>
      <c r="BY98" s="225"/>
      <c r="BZ98" s="225"/>
    </row>
    <row r="99" ht="12.0" customHeight="1">
      <c r="A99" s="212">
        <v>46430.0</v>
      </c>
      <c r="B99" s="102"/>
      <c r="C99" s="102"/>
      <c r="D99" s="102"/>
      <c r="E99" s="102"/>
      <c r="F99" s="102"/>
      <c r="G99" s="102"/>
      <c r="H99" s="115"/>
      <c r="I99" s="211" t="s">
        <v>214</v>
      </c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15"/>
      <c r="AY99" s="254"/>
      <c r="AZ99" s="164"/>
      <c r="BA99" s="166"/>
      <c r="BB99" s="166"/>
      <c r="BC99" s="166"/>
      <c r="BD99" s="166"/>
      <c r="BE99" s="166"/>
      <c r="BF99" s="166"/>
      <c r="BG99" s="166"/>
    </row>
    <row r="100" ht="12.0" customHeight="1">
      <c r="A100" s="266"/>
      <c r="B100" s="102"/>
      <c r="C100" s="102"/>
      <c r="D100" s="102"/>
      <c r="E100" s="102"/>
      <c r="F100" s="102"/>
      <c r="G100" s="102"/>
      <c r="H100" s="115"/>
      <c r="I100" s="271" t="s">
        <v>184</v>
      </c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15"/>
      <c r="AY100" s="209"/>
      <c r="AZ100" s="164"/>
      <c r="BA100" s="166"/>
      <c r="BB100" s="166"/>
      <c r="BC100" s="166"/>
      <c r="BD100" s="166"/>
      <c r="BE100" s="166"/>
      <c r="BF100" s="166"/>
      <c r="BG100" s="166"/>
    </row>
    <row r="101" ht="12.0" customHeight="1">
      <c r="A101" s="201" t="s">
        <v>215</v>
      </c>
      <c r="B101" s="102"/>
      <c r="C101" s="102"/>
      <c r="D101" s="102"/>
      <c r="E101" s="102"/>
      <c r="F101" s="102"/>
      <c r="G101" s="102"/>
      <c r="H101" s="115"/>
      <c r="I101" s="211" t="s">
        <v>216</v>
      </c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15"/>
      <c r="AY101" s="209"/>
      <c r="AZ101" s="164"/>
      <c r="BA101" s="166"/>
      <c r="BB101" s="166"/>
      <c r="BC101" s="166"/>
      <c r="BD101" s="166"/>
      <c r="BE101" s="166"/>
      <c r="BF101" s="166"/>
      <c r="BG101" s="166"/>
    </row>
    <row r="102" ht="12.0" customHeight="1">
      <c r="A102" s="201" t="s">
        <v>217</v>
      </c>
      <c r="B102" s="102"/>
      <c r="C102" s="102"/>
      <c r="D102" s="102"/>
      <c r="E102" s="102"/>
      <c r="F102" s="102"/>
      <c r="G102" s="102"/>
      <c r="H102" s="115"/>
      <c r="I102" s="211" t="s">
        <v>218</v>
      </c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15"/>
      <c r="AY102" s="250"/>
      <c r="AZ102" s="164"/>
      <c r="BA102" s="166"/>
      <c r="BB102" s="166"/>
      <c r="BC102" s="166"/>
      <c r="BD102" s="166"/>
      <c r="BE102" s="166"/>
      <c r="BF102" s="166"/>
      <c r="BG102" s="166"/>
    </row>
    <row r="103" ht="12.0" customHeight="1">
      <c r="A103" s="212">
        <v>46440.0</v>
      </c>
      <c r="B103" s="102"/>
      <c r="C103" s="102"/>
      <c r="D103" s="102"/>
      <c r="E103" s="102"/>
      <c r="F103" s="102"/>
      <c r="G103" s="102"/>
      <c r="H103" s="115"/>
      <c r="I103" s="211" t="s">
        <v>219</v>
      </c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15"/>
      <c r="AY103" s="250"/>
      <c r="AZ103" s="164"/>
      <c r="BA103" s="166"/>
      <c r="BB103" s="166"/>
      <c r="BC103" s="166"/>
      <c r="BD103" s="166"/>
      <c r="BE103" s="166"/>
      <c r="BF103" s="166"/>
      <c r="BG103" s="166"/>
    </row>
    <row r="104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  <c r="AA104" s="279"/>
      <c r="AB104" s="279"/>
      <c r="AC104" s="279"/>
      <c r="AD104" s="279"/>
      <c r="AE104" s="279"/>
      <c r="AF104" s="279"/>
      <c r="AG104" s="279"/>
      <c r="AH104" s="279"/>
      <c r="AI104" s="279"/>
      <c r="AJ104" s="279"/>
      <c r="AK104" s="279"/>
      <c r="AL104" s="279"/>
      <c r="AM104" s="279"/>
      <c r="AN104" s="279"/>
      <c r="AO104" s="279"/>
      <c r="AP104" s="279"/>
      <c r="AQ104" s="279"/>
      <c r="AR104" s="279"/>
      <c r="AS104" s="279"/>
      <c r="AT104" s="279"/>
      <c r="AU104" s="279"/>
      <c r="AV104" s="279"/>
      <c r="AW104" s="279"/>
      <c r="AX104" s="279"/>
    </row>
    <row r="105" ht="3.0" customHeight="1"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  <c r="AH105" s="216"/>
      <c r="AI105" s="216"/>
      <c r="AJ105" s="216"/>
      <c r="AK105" s="216"/>
      <c r="AL105" s="216"/>
      <c r="AM105" s="216"/>
      <c r="AN105" s="216"/>
      <c r="AO105" s="216"/>
      <c r="AP105" s="216"/>
      <c r="AQ105" s="216"/>
      <c r="AR105" s="216"/>
      <c r="AS105" s="216"/>
      <c r="AT105" s="216"/>
      <c r="AU105" s="216"/>
      <c r="AV105" s="216"/>
      <c r="AW105" s="216"/>
      <c r="AX105" s="216"/>
      <c r="AY105" s="216"/>
      <c r="AZ105" s="21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216">
    <mergeCell ref="AR5:AR12"/>
    <mergeCell ref="BA5:BA12"/>
    <mergeCell ref="AR14:AR21"/>
    <mergeCell ref="BA14:BA21"/>
    <mergeCell ref="BI5:BI12"/>
    <mergeCell ref="BQ5:BQ12"/>
    <mergeCell ref="BI14:BI21"/>
    <mergeCell ref="BQ14:BQ21"/>
    <mergeCell ref="B2:AY2"/>
    <mergeCell ref="BA2:BY2"/>
    <mergeCell ref="B3:AY3"/>
    <mergeCell ref="BA3:BY3"/>
    <mergeCell ref="B5:B12"/>
    <mergeCell ref="J5:J12"/>
    <mergeCell ref="R5:R12"/>
    <mergeCell ref="AB5:AB12"/>
    <mergeCell ref="AJ5:AJ12"/>
    <mergeCell ref="B14:B21"/>
    <mergeCell ref="J14:J21"/>
    <mergeCell ref="R14:R21"/>
    <mergeCell ref="AB14:AB21"/>
    <mergeCell ref="AJ14:AJ21"/>
    <mergeCell ref="BN23:BV24"/>
    <mergeCell ref="BW23:BX24"/>
    <mergeCell ref="B24:H24"/>
    <mergeCell ref="I24:N24"/>
    <mergeCell ref="BB24:BG24"/>
    <mergeCell ref="BH24:BM24"/>
    <mergeCell ref="AR28:AX28"/>
    <mergeCell ref="AR29:AX29"/>
    <mergeCell ref="AU31:AY31"/>
    <mergeCell ref="AU32:AY32"/>
    <mergeCell ref="Y28:AF28"/>
    <mergeCell ref="Y29:AF29"/>
    <mergeCell ref="T31:AA31"/>
    <mergeCell ref="AC31:AJ31"/>
    <mergeCell ref="AL31:AS31"/>
    <mergeCell ref="AC32:AJ32"/>
    <mergeCell ref="AL32:AS32"/>
    <mergeCell ref="AB24:AH24"/>
    <mergeCell ref="AI24:AN24"/>
    <mergeCell ref="B23:N23"/>
    <mergeCell ref="O23:W24"/>
    <mergeCell ref="X23:Y24"/>
    <mergeCell ref="AB23:AN23"/>
    <mergeCell ref="AO23:AW24"/>
    <mergeCell ref="AX23:AY24"/>
    <mergeCell ref="BB23:BM23"/>
    <mergeCell ref="B25:H25"/>
    <mergeCell ref="AB25:AH25"/>
    <mergeCell ref="BB25:BK25"/>
    <mergeCell ref="BL25:BM25"/>
    <mergeCell ref="BN25:BU25"/>
    <mergeCell ref="BV25:BX25"/>
    <mergeCell ref="C27:AY27"/>
    <mergeCell ref="AI29:AO29"/>
    <mergeCell ref="B30:AY30"/>
    <mergeCell ref="B28:G28"/>
    <mergeCell ref="R28:V28"/>
    <mergeCell ref="AI28:AO28"/>
    <mergeCell ref="BA28:BY28"/>
    <mergeCell ref="B29:G29"/>
    <mergeCell ref="R29:V29"/>
    <mergeCell ref="BA29:BG29"/>
    <mergeCell ref="B33:I33"/>
    <mergeCell ref="B34:I34"/>
    <mergeCell ref="J28:O28"/>
    <mergeCell ref="J29:O29"/>
    <mergeCell ref="B31:I31"/>
    <mergeCell ref="K31:R31"/>
    <mergeCell ref="B32:I32"/>
    <mergeCell ref="K32:R32"/>
    <mergeCell ref="K33:R33"/>
    <mergeCell ref="K34:R34"/>
    <mergeCell ref="I58:AX58"/>
    <mergeCell ref="I59:AX59"/>
    <mergeCell ref="I51:AX51"/>
    <mergeCell ref="I52:AX52"/>
    <mergeCell ref="I53:AX53"/>
    <mergeCell ref="I54:AX54"/>
    <mergeCell ref="I55:AX55"/>
    <mergeCell ref="I56:AX56"/>
    <mergeCell ref="I57:AX57"/>
    <mergeCell ref="T32:AA32"/>
    <mergeCell ref="T33:AA33"/>
    <mergeCell ref="AC33:AJ33"/>
    <mergeCell ref="AL33:AS33"/>
    <mergeCell ref="AU33:AY33"/>
    <mergeCell ref="T34:AA34"/>
    <mergeCell ref="AC34:AJ34"/>
    <mergeCell ref="AL34:AS34"/>
    <mergeCell ref="B35:AY35"/>
    <mergeCell ref="A36:H36"/>
    <mergeCell ref="I36:AX37"/>
    <mergeCell ref="A37:H37"/>
    <mergeCell ref="A38:H38"/>
    <mergeCell ref="I38:AX38"/>
    <mergeCell ref="A39:H39"/>
    <mergeCell ref="I39:AX39"/>
    <mergeCell ref="A40:H40"/>
    <mergeCell ref="I40:AX40"/>
    <mergeCell ref="B41:AY41"/>
    <mergeCell ref="I42:AX42"/>
    <mergeCell ref="B43:AY43"/>
    <mergeCell ref="A42:H42"/>
    <mergeCell ref="A44:H44"/>
    <mergeCell ref="A45:H45"/>
    <mergeCell ref="A46:H46"/>
    <mergeCell ref="A47:H47"/>
    <mergeCell ref="A48:H48"/>
    <mergeCell ref="A49:H49"/>
    <mergeCell ref="I44:AX44"/>
    <mergeCell ref="I45:AX45"/>
    <mergeCell ref="I46:AX46"/>
    <mergeCell ref="I47:AX47"/>
    <mergeCell ref="I48:AX48"/>
    <mergeCell ref="I49:AX49"/>
    <mergeCell ref="I50:AX50"/>
    <mergeCell ref="A61:H61"/>
    <mergeCell ref="A62:H62"/>
    <mergeCell ref="A63:H63"/>
    <mergeCell ref="A64:H64"/>
    <mergeCell ref="A50:H50"/>
    <mergeCell ref="A51:H51"/>
    <mergeCell ref="A52:H52"/>
    <mergeCell ref="A53:H53"/>
    <mergeCell ref="A54:H54"/>
    <mergeCell ref="A55:H55"/>
    <mergeCell ref="A56:H56"/>
    <mergeCell ref="A81:H81"/>
    <mergeCell ref="A82:H82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102:H102"/>
    <mergeCell ref="A103:H103"/>
    <mergeCell ref="A95:H95"/>
    <mergeCell ref="A96:H96"/>
    <mergeCell ref="A97:H97"/>
    <mergeCell ref="A98:H98"/>
    <mergeCell ref="A99:H99"/>
    <mergeCell ref="A100:H100"/>
    <mergeCell ref="A101:H101"/>
    <mergeCell ref="I96:AX96"/>
    <mergeCell ref="I97:AX97"/>
    <mergeCell ref="I98:AX98"/>
    <mergeCell ref="I99:AX99"/>
    <mergeCell ref="I100:AX100"/>
    <mergeCell ref="I101:AX101"/>
    <mergeCell ref="I102:AX102"/>
    <mergeCell ref="I103:AX103"/>
    <mergeCell ref="I89:AX89"/>
    <mergeCell ref="I90:AX90"/>
    <mergeCell ref="I91:AX91"/>
    <mergeCell ref="I92:AX92"/>
    <mergeCell ref="I93:AX93"/>
    <mergeCell ref="I94:AX94"/>
    <mergeCell ref="I95:AX95"/>
    <mergeCell ref="A57:H57"/>
    <mergeCell ref="A58:H58"/>
    <mergeCell ref="A59:H59"/>
    <mergeCell ref="A60:H60"/>
    <mergeCell ref="I60:AX60"/>
    <mergeCell ref="I61:AX61"/>
    <mergeCell ref="I62:AX62"/>
    <mergeCell ref="I63:AX63"/>
    <mergeCell ref="I64:AX64"/>
    <mergeCell ref="A65:H65"/>
    <mergeCell ref="I65:AX65"/>
    <mergeCell ref="A66:H66"/>
    <mergeCell ref="I66:AX66"/>
    <mergeCell ref="I67:AX67"/>
    <mergeCell ref="A67:H67"/>
    <mergeCell ref="A68:H68"/>
    <mergeCell ref="A69:H69"/>
    <mergeCell ref="A70:H70"/>
    <mergeCell ref="A71:H71"/>
    <mergeCell ref="A72:H72"/>
    <mergeCell ref="A73:H73"/>
    <mergeCell ref="I68:AX68"/>
    <mergeCell ref="I69:AX69"/>
    <mergeCell ref="I70:AX70"/>
    <mergeCell ref="I71:AX71"/>
    <mergeCell ref="I72:AX72"/>
    <mergeCell ref="I73:AX73"/>
    <mergeCell ref="I74:AX74"/>
    <mergeCell ref="A74:H74"/>
    <mergeCell ref="A75:H75"/>
    <mergeCell ref="A76:H76"/>
    <mergeCell ref="A77:H77"/>
    <mergeCell ref="A78:H78"/>
    <mergeCell ref="A79:H79"/>
    <mergeCell ref="A80:H80"/>
    <mergeCell ref="I75:AX75"/>
    <mergeCell ref="I76:AX76"/>
    <mergeCell ref="I77:AX77"/>
    <mergeCell ref="I78:AX78"/>
    <mergeCell ref="I79:AX79"/>
    <mergeCell ref="I80:AX80"/>
    <mergeCell ref="I81:AX81"/>
    <mergeCell ref="I82:AX82"/>
    <mergeCell ref="I83:AX83"/>
    <mergeCell ref="I84:AX84"/>
    <mergeCell ref="I85:AX85"/>
    <mergeCell ref="I86:AX86"/>
    <mergeCell ref="I87:AX87"/>
    <mergeCell ref="I88:AX88"/>
  </mergeCells>
  <printOptions horizontalCentered="1"/>
  <pageMargins bottom="0.118055555555556" footer="0.0" header="0.0" left="0.10247952134817506" right="0.118055555555556" top="0.196527777777778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17" width="2.71"/>
    <col customWidth="1" min="18" max="18" width="2.57"/>
    <col customWidth="1" min="19" max="25" width="2.71"/>
    <col customWidth="1" min="26" max="26" width="1.14"/>
    <col customWidth="1" min="27" max="27" width="0.43"/>
    <col customWidth="1" min="28" max="28" width="2.0"/>
    <col customWidth="1" min="29" max="50" width="2.71"/>
    <col customWidth="1" min="51" max="51" width="2.86"/>
    <col customWidth="1" min="52" max="52" width="0.43"/>
    <col customWidth="1" min="53" max="56" width="2.71"/>
    <col customWidth="1" min="57" max="57" width="2.29"/>
    <col customWidth="1" min="58" max="58" width="2.57"/>
    <col customWidth="1" min="59" max="59" width="2.71"/>
    <col customWidth="1" min="60" max="60" width="3.43"/>
    <col customWidth="1" min="61" max="61" width="3.71"/>
    <col customWidth="1" min="62" max="62" width="2.71"/>
    <col customWidth="1" min="63" max="63" width="3.29"/>
    <col customWidth="1" min="64" max="64" width="2.43"/>
    <col customWidth="1" min="65" max="65" width="3.0"/>
    <col customWidth="1" min="66" max="67" width="2.86"/>
    <col customWidth="1" min="68" max="68" width="2.71"/>
    <col customWidth="1" min="69" max="69" width="3.57"/>
    <col customWidth="1" min="70" max="70" width="3.71"/>
    <col customWidth="1" min="71" max="71" width="3.57"/>
    <col customWidth="1" min="72" max="72" width="3.43"/>
    <col customWidth="1" min="73" max="73" width="3.14"/>
    <col customWidth="1" min="74" max="74" width="2.43"/>
    <col customWidth="1" min="75" max="75" width="2.71"/>
    <col customWidth="1" min="76" max="76" width="2.57"/>
    <col customWidth="1" min="77" max="77" width="0.71"/>
    <col customWidth="1" min="78" max="78" width="0.43"/>
  </cols>
  <sheetData>
    <row r="1" ht="2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 ht="15.7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7"/>
      <c r="AZ2" s="8"/>
      <c r="BA2" s="9" t="s">
        <v>0</v>
      </c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10"/>
    </row>
    <row r="3" ht="15.75" customHeight="1">
      <c r="A3" s="4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7"/>
      <c r="AZ3" s="8"/>
      <c r="BA3" s="11" t="s">
        <v>2</v>
      </c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10"/>
    </row>
    <row r="4" ht="2.25" customHeight="1">
      <c r="A4" s="13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</row>
    <row r="5" ht="9.75" customHeight="1">
      <c r="A5" s="13"/>
      <c r="B5" s="15" t="s">
        <v>5</v>
      </c>
      <c r="C5" s="16" t="s">
        <v>6</v>
      </c>
      <c r="D5" s="17" t="s">
        <v>7</v>
      </c>
      <c r="E5" s="17" t="s">
        <v>8</v>
      </c>
      <c r="F5" s="17" t="s">
        <v>8</v>
      </c>
      <c r="G5" s="17" t="s">
        <v>6</v>
      </c>
      <c r="H5" s="17" t="s">
        <v>6</v>
      </c>
      <c r="I5" s="16" t="s">
        <v>9</v>
      </c>
      <c r="J5" s="15" t="s">
        <v>10</v>
      </c>
      <c r="K5" s="16" t="s">
        <v>6</v>
      </c>
      <c r="L5" s="17" t="s">
        <v>7</v>
      </c>
      <c r="M5" s="17" t="s">
        <v>8</v>
      </c>
      <c r="N5" s="17" t="s">
        <v>8</v>
      </c>
      <c r="O5" s="17" t="s">
        <v>6</v>
      </c>
      <c r="P5" s="17" t="s">
        <v>6</v>
      </c>
      <c r="Q5" s="16" t="s">
        <v>9</v>
      </c>
      <c r="R5" s="15" t="s">
        <v>11</v>
      </c>
      <c r="S5" s="16" t="s">
        <v>6</v>
      </c>
      <c r="T5" s="17" t="s">
        <v>7</v>
      </c>
      <c r="U5" s="17" t="s">
        <v>8</v>
      </c>
      <c r="V5" s="17" t="s">
        <v>8</v>
      </c>
      <c r="W5" s="17" t="s">
        <v>6</v>
      </c>
      <c r="X5" s="17" t="s">
        <v>6</v>
      </c>
      <c r="Y5" s="16" t="s">
        <v>9</v>
      </c>
      <c r="Z5" s="18"/>
      <c r="AA5" s="8"/>
      <c r="AB5" s="19" t="s">
        <v>12</v>
      </c>
      <c r="AC5" s="16" t="s">
        <v>6</v>
      </c>
      <c r="AD5" s="17" t="s">
        <v>7</v>
      </c>
      <c r="AE5" s="17" t="s">
        <v>8</v>
      </c>
      <c r="AF5" s="17" t="s">
        <v>8</v>
      </c>
      <c r="AG5" s="17" t="s">
        <v>6</v>
      </c>
      <c r="AH5" s="17" t="s">
        <v>6</v>
      </c>
      <c r="AI5" s="16" t="s">
        <v>9</v>
      </c>
      <c r="AJ5" s="19" t="s">
        <v>13</v>
      </c>
      <c r="AK5" s="20" t="s">
        <v>6</v>
      </c>
      <c r="AL5" s="17" t="s">
        <v>7</v>
      </c>
      <c r="AM5" s="17" t="s">
        <v>8</v>
      </c>
      <c r="AN5" s="17" t="s">
        <v>8</v>
      </c>
      <c r="AO5" s="17" t="s">
        <v>6</v>
      </c>
      <c r="AP5" s="21" t="s">
        <v>6</v>
      </c>
      <c r="AQ5" s="21" t="s">
        <v>9</v>
      </c>
      <c r="AR5" s="19" t="s">
        <v>14</v>
      </c>
      <c r="AS5" s="16" t="s">
        <v>6</v>
      </c>
      <c r="AT5" s="17" t="s">
        <v>7</v>
      </c>
      <c r="AU5" s="17" t="s">
        <v>8</v>
      </c>
      <c r="AV5" s="17" t="s">
        <v>8</v>
      </c>
      <c r="AW5" s="17" t="s">
        <v>6</v>
      </c>
      <c r="AX5" s="17" t="s">
        <v>6</v>
      </c>
      <c r="AY5" s="16" t="s">
        <v>9</v>
      </c>
      <c r="AZ5" s="8"/>
      <c r="BA5" s="15" t="s">
        <v>5</v>
      </c>
      <c r="BB5" s="16" t="s">
        <v>6</v>
      </c>
      <c r="BC5" s="17" t="s">
        <v>7</v>
      </c>
      <c r="BD5" s="17" t="s">
        <v>8</v>
      </c>
      <c r="BE5" s="17" t="s">
        <v>8</v>
      </c>
      <c r="BF5" s="17" t="s">
        <v>6</v>
      </c>
      <c r="BG5" s="17" t="s">
        <v>6</v>
      </c>
      <c r="BH5" s="16" t="s">
        <v>9</v>
      </c>
      <c r="BI5" s="15" t="s">
        <v>10</v>
      </c>
      <c r="BJ5" s="16" t="s">
        <v>6</v>
      </c>
      <c r="BK5" s="17" t="s">
        <v>7</v>
      </c>
      <c r="BL5" s="17" t="s">
        <v>8</v>
      </c>
      <c r="BM5" s="17" t="s">
        <v>8</v>
      </c>
      <c r="BN5" s="17" t="s">
        <v>6</v>
      </c>
      <c r="BO5" s="17" t="s">
        <v>6</v>
      </c>
      <c r="BP5" s="16" t="s">
        <v>9</v>
      </c>
      <c r="BQ5" s="15" t="s">
        <v>11</v>
      </c>
      <c r="BR5" s="16" t="s">
        <v>6</v>
      </c>
      <c r="BS5" s="17" t="s">
        <v>7</v>
      </c>
      <c r="BT5" s="17" t="s">
        <v>8</v>
      </c>
      <c r="BU5" s="17" t="s">
        <v>8</v>
      </c>
      <c r="BV5" s="17" t="s">
        <v>6</v>
      </c>
      <c r="BW5" s="17" t="s">
        <v>6</v>
      </c>
      <c r="BX5" s="16" t="s">
        <v>9</v>
      </c>
      <c r="BY5" s="22"/>
      <c r="BZ5" s="10"/>
    </row>
    <row r="6" ht="9.75" customHeight="1">
      <c r="A6" s="13"/>
      <c r="C6" s="23"/>
      <c r="D6" s="23"/>
      <c r="E6" s="24">
        <v>1.0</v>
      </c>
      <c r="F6" s="25">
        <f t="shared" ref="F6:I6" si="1">E6+1</f>
        <v>2</v>
      </c>
      <c r="G6" s="25">
        <f t="shared" si="1"/>
        <v>3</v>
      </c>
      <c r="H6" s="25">
        <f t="shared" si="1"/>
        <v>4</v>
      </c>
      <c r="I6" s="25">
        <f t="shared" si="1"/>
        <v>5</v>
      </c>
      <c r="K6" s="23"/>
      <c r="L6" s="23"/>
      <c r="M6" s="23"/>
      <c r="N6" s="23"/>
      <c r="O6" s="23"/>
      <c r="P6" s="26">
        <v>1.0</v>
      </c>
      <c r="Q6" s="26">
        <f>P6+1</f>
        <v>2</v>
      </c>
      <c r="S6" s="23"/>
      <c r="T6" s="23"/>
      <c r="U6" s="23"/>
      <c r="V6" s="23"/>
      <c r="W6" s="23"/>
      <c r="X6" s="26">
        <f t="shared" ref="X6:Y6" si="2">W6+1</f>
        <v>1</v>
      </c>
      <c r="Y6" s="26">
        <f t="shared" si="2"/>
        <v>2</v>
      </c>
      <c r="Z6" s="18"/>
      <c r="AA6" s="8"/>
      <c r="AC6" s="23"/>
      <c r="AD6" s="28">
        <v>1.0</v>
      </c>
      <c r="AE6" s="24">
        <f t="shared" ref="AE6:AI6" si="3">AD6+1</f>
        <v>2</v>
      </c>
      <c r="AF6" s="28">
        <f t="shared" si="3"/>
        <v>3</v>
      </c>
      <c r="AG6" s="28">
        <f t="shared" si="3"/>
        <v>4</v>
      </c>
      <c r="AH6" s="28">
        <f t="shared" si="3"/>
        <v>5</v>
      </c>
      <c r="AI6" s="26">
        <f t="shared" si="3"/>
        <v>6</v>
      </c>
      <c r="AK6" s="23"/>
      <c r="AL6" s="23"/>
      <c r="AM6" s="23"/>
      <c r="AN6" s="23"/>
      <c r="AO6" s="28">
        <v>1.0</v>
      </c>
      <c r="AP6" s="28">
        <f t="shared" ref="AP6:AQ6" si="4">AO6+1</f>
        <v>2</v>
      </c>
      <c r="AQ6" s="26">
        <f t="shared" si="4"/>
        <v>3</v>
      </c>
      <c r="AS6" s="29">
        <f t="shared" ref="AS6:AT6" si="5">AR6+1</f>
        <v>1</v>
      </c>
      <c r="AT6" s="29">
        <f t="shared" si="5"/>
        <v>2</v>
      </c>
      <c r="AU6" s="30">
        <v>3.0</v>
      </c>
      <c r="AV6" s="31">
        <v>4.0</v>
      </c>
      <c r="AW6" s="32">
        <v>4.0</v>
      </c>
      <c r="AX6" s="26">
        <v>6.0</v>
      </c>
      <c r="AY6" s="24">
        <f>AX6+1</f>
        <v>7</v>
      </c>
      <c r="AZ6" s="8"/>
      <c r="BB6" s="23"/>
      <c r="BC6" s="23"/>
      <c r="BD6" s="23"/>
      <c r="BE6" s="24">
        <v>1.0</v>
      </c>
      <c r="BF6" s="25">
        <f t="shared" ref="BF6:BH6" si="6">BE6+1</f>
        <v>2</v>
      </c>
      <c r="BG6" s="25">
        <f t="shared" si="6"/>
        <v>3</v>
      </c>
      <c r="BH6" s="25">
        <f t="shared" si="6"/>
        <v>4</v>
      </c>
      <c r="BJ6" s="23"/>
      <c r="BK6" s="23"/>
      <c r="BL6" s="23"/>
      <c r="BM6" s="23"/>
      <c r="BN6" s="23"/>
      <c r="BO6" s="23"/>
      <c r="BP6" s="26">
        <v>1.0</v>
      </c>
      <c r="BR6" s="23"/>
      <c r="BS6" s="23"/>
      <c r="BT6" s="23"/>
      <c r="BU6" s="23"/>
      <c r="BV6" s="23"/>
      <c r="BW6" s="23"/>
      <c r="BX6" s="26">
        <v>1.0</v>
      </c>
      <c r="BY6" s="22"/>
      <c r="BZ6" s="10"/>
    </row>
    <row r="7" ht="9.75" customHeight="1">
      <c r="A7" s="13"/>
      <c r="C7" s="25">
        <f>I6+1</f>
        <v>6</v>
      </c>
      <c r="D7" s="25">
        <f t="shared" ref="D7:I7" si="7">C7+1</f>
        <v>7</v>
      </c>
      <c r="E7" s="25">
        <f t="shared" si="7"/>
        <v>8</v>
      </c>
      <c r="F7" s="25">
        <f t="shared" si="7"/>
        <v>9</v>
      </c>
      <c r="G7" s="25">
        <f t="shared" si="7"/>
        <v>10</v>
      </c>
      <c r="H7" s="25">
        <f t="shared" si="7"/>
        <v>11</v>
      </c>
      <c r="I7" s="25">
        <f t="shared" si="7"/>
        <v>12</v>
      </c>
      <c r="K7" s="26">
        <f>Q6+1</f>
        <v>3</v>
      </c>
      <c r="L7" s="26">
        <f t="shared" ref="L7:Q7" si="8">K7+1</f>
        <v>4</v>
      </c>
      <c r="M7" s="26">
        <f t="shared" si="8"/>
        <v>5</v>
      </c>
      <c r="N7" s="26">
        <f t="shared" si="8"/>
        <v>6</v>
      </c>
      <c r="O7" s="26">
        <f t="shared" si="8"/>
        <v>7</v>
      </c>
      <c r="P7" s="26">
        <f t="shared" si="8"/>
        <v>8</v>
      </c>
      <c r="Q7" s="26">
        <f t="shared" si="8"/>
        <v>9</v>
      </c>
      <c r="S7" s="26">
        <f>Y6+1</f>
        <v>3</v>
      </c>
      <c r="T7" s="24">
        <f t="shared" ref="T7:Y7" si="9">S7+1</f>
        <v>4</v>
      </c>
      <c r="U7" s="24">
        <f t="shared" si="9"/>
        <v>5</v>
      </c>
      <c r="V7" s="26">
        <f t="shared" si="9"/>
        <v>6</v>
      </c>
      <c r="W7" s="26">
        <f t="shared" si="9"/>
        <v>7</v>
      </c>
      <c r="X7" s="26">
        <f t="shared" si="9"/>
        <v>8</v>
      </c>
      <c r="Y7" s="26">
        <f t="shared" si="9"/>
        <v>9</v>
      </c>
      <c r="Z7" s="18"/>
      <c r="AA7" s="8"/>
      <c r="AC7" s="28">
        <f t="shared" ref="AC7:AI7" si="10">AC6+7</f>
        <v>7</v>
      </c>
      <c r="AD7" s="28">
        <f t="shared" si="10"/>
        <v>8</v>
      </c>
      <c r="AE7" s="28">
        <f t="shared" si="10"/>
        <v>9</v>
      </c>
      <c r="AF7" s="28">
        <f t="shared" si="10"/>
        <v>10</v>
      </c>
      <c r="AG7" s="28">
        <f t="shared" si="10"/>
        <v>11</v>
      </c>
      <c r="AH7" s="28">
        <f t="shared" si="10"/>
        <v>12</v>
      </c>
      <c r="AI7" s="26">
        <f t="shared" si="10"/>
        <v>13</v>
      </c>
      <c r="AK7" s="28">
        <f>AQ6+1</f>
        <v>4</v>
      </c>
      <c r="AL7" s="28">
        <f t="shared" ref="AL7:AQ7" si="11">AK7+1</f>
        <v>5</v>
      </c>
      <c r="AM7" s="24">
        <f t="shared" si="11"/>
        <v>6</v>
      </c>
      <c r="AN7" s="28">
        <f t="shared" si="11"/>
        <v>7</v>
      </c>
      <c r="AO7" s="28">
        <f t="shared" si="11"/>
        <v>8</v>
      </c>
      <c r="AP7" s="26">
        <f t="shared" si="11"/>
        <v>9</v>
      </c>
      <c r="AQ7" s="26">
        <f t="shared" si="11"/>
        <v>10</v>
      </c>
      <c r="AS7" s="35">
        <f t="shared" ref="AS7:AY7" si="12">AS6+7</f>
        <v>8</v>
      </c>
      <c r="AT7" s="35">
        <f t="shared" si="12"/>
        <v>9</v>
      </c>
      <c r="AU7" s="35">
        <f t="shared" si="12"/>
        <v>10</v>
      </c>
      <c r="AV7" s="35">
        <f t="shared" si="12"/>
        <v>11</v>
      </c>
      <c r="AW7" s="26">
        <f t="shared" si="12"/>
        <v>11</v>
      </c>
      <c r="AX7" s="26">
        <f t="shared" si="12"/>
        <v>13</v>
      </c>
      <c r="AY7" s="26">
        <f t="shared" si="12"/>
        <v>14</v>
      </c>
      <c r="AZ7" s="8"/>
      <c r="BB7" s="25">
        <f>BH6+1</f>
        <v>5</v>
      </c>
      <c r="BC7" s="25">
        <f t="shared" ref="BC7:BH7" si="13">BB7+1</f>
        <v>6</v>
      </c>
      <c r="BD7" s="25">
        <f t="shared" si="13"/>
        <v>7</v>
      </c>
      <c r="BE7" s="25">
        <f t="shared" si="13"/>
        <v>8</v>
      </c>
      <c r="BF7" s="25">
        <f t="shared" si="13"/>
        <v>9</v>
      </c>
      <c r="BG7" s="25">
        <f t="shared" si="13"/>
        <v>10</v>
      </c>
      <c r="BH7" s="25">
        <f t="shared" si="13"/>
        <v>11</v>
      </c>
      <c r="BJ7" s="28">
        <f t="shared" ref="BJ7:BJ8" si="23">BP6+1</f>
        <v>2</v>
      </c>
      <c r="BK7" s="28">
        <f t="shared" ref="BK7:BP7" si="14">BJ7+1</f>
        <v>3</v>
      </c>
      <c r="BL7" s="28">
        <f t="shared" si="14"/>
        <v>4</v>
      </c>
      <c r="BM7" s="28">
        <f t="shared" si="14"/>
        <v>5</v>
      </c>
      <c r="BN7" s="28">
        <f t="shared" si="14"/>
        <v>6</v>
      </c>
      <c r="BO7" s="28">
        <f t="shared" si="14"/>
        <v>7</v>
      </c>
      <c r="BP7" s="26">
        <f t="shared" si="14"/>
        <v>8</v>
      </c>
      <c r="BR7" s="35">
        <v>2.0</v>
      </c>
      <c r="BS7" s="35">
        <f t="shared" ref="BS7:BX7" si="15">BR7+1</f>
        <v>3</v>
      </c>
      <c r="BT7" s="35">
        <f t="shared" si="15"/>
        <v>4</v>
      </c>
      <c r="BU7" s="35">
        <f t="shared" si="15"/>
        <v>5</v>
      </c>
      <c r="BV7" s="35">
        <f t="shared" si="15"/>
        <v>6</v>
      </c>
      <c r="BW7" s="35">
        <f t="shared" si="15"/>
        <v>7</v>
      </c>
      <c r="BX7" s="26">
        <f t="shared" si="15"/>
        <v>8</v>
      </c>
      <c r="BY7" s="22"/>
      <c r="BZ7" s="10"/>
    </row>
    <row r="8" ht="9.75" customHeight="1">
      <c r="A8" s="13"/>
      <c r="C8" s="25">
        <f t="shared" ref="C8:I8" si="16">C7+7</f>
        <v>13</v>
      </c>
      <c r="D8" s="26">
        <f t="shared" si="16"/>
        <v>14</v>
      </c>
      <c r="E8" s="26">
        <f t="shared" si="16"/>
        <v>15</v>
      </c>
      <c r="F8" s="26">
        <f t="shared" si="16"/>
        <v>16</v>
      </c>
      <c r="G8" s="26">
        <f t="shared" si="16"/>
        <v>17</v>
      </c>
      <c r="H8" s="26">
        <f t="shared" si="16"/>
        <v>18</v>
      </c>
      <c r="I8" s="26">
        <f t="shared" si="16"/>
        <v>19</v>
      </c>
      <c r="K8" s="26">
        <f t="shared" ref="K8:Q8" si="17">K7+7</f>
        <v>10</v>
      </c>
      <c r="L8" s="26">
        <f t="shared" si="17"/>
        <v>11</v>
      </c>
      <c r="M8" s="26">
        <f t="shared" si="17"/>
        <v>12</v>
      </c>
      <c r="N8" s="26">
        <f t="shared" si="17"/>
        <v>13</v>
      </c>
      <c r="O8" s="26">
        <f t="shared" si="17"/>
        <v>14</v>
      </c>
      <c r="P8" s="26">
        <f t="shared" si="17"/>
        <v>15</v>
      </c>
      <c r="Q8" s="26">
        <f t="shared" si="17"/>
        <v>16</v>
      </c>
      <c r="S8" s="26">
        <f t="shared" ref="S8:Y8" si="18">S7+7</f>
        <v>10</v>
      </c>
      <c r="T8" s="26">
        <f t="shared" si="18"/>
        <v>11</v>
      </c>
      <c r="U8" s="26">
        <f t="shared" si="18"/>
        <v>12</v>
      </c>
      <c r="V8" s="38">
        <f t="shared" si="18"/>
        <v>13</v>
      </c>
      <c r="W8" s="38">
        <f t="shared" si="18"/>
        <v>14</v>
      </c>
      <c r="X8" s="26">
        <f t="shared" si="18"/>
        <v>15</v>
      </c>
      <c r="Y8" s="26">
        <f t="shared" si="18"/>
        <v>16</v>
      </c>
      <c r="Z8" s="18"/>
      <c r="AA8" s="8"/>
      <c r="AC8" s="28">
        <f t="shared" ref="AC8:AI8" si="19">AC7+7</f>
        <v>14</v>
      </c>
      <c r="AD8" s="28">
        <f t="shared" si="19"/>
        <v>15</v>
      </c>
      <c r="AE8" s="38">
        <f t="shared" si="19"/>
        <v>16</v>
      </c>
      <c r="AF8" s="28">
        <f t="shared" si="19"/>
        <v>17</v>
      </c>
      <c r="AG8" s="28">
        <f t="shared" si="19"/>
        <v>18</v>
      </c>
      <c r="AH8" s="28">
        <f t="shared" si="19"/>
        <v>19</v>
      </c>
      <c r="AI8" s="26">
        <f t="shared" si="19"/>
        <v>20</v>
      </c>
      <c r="AK8" s="44">
        <f t="shared" ref="AK8:AQ8" si="20">AK7+7</f>
        <v>11</v>
      </c>
      <c r="AL8" s="44">
        <f t="shared" si="20"/>
        <v>12</v>
      </c>
      <c r="AM8" s="44">
        <f t="shared" si="20"/>
        <v>13</v>
      </c>
      <c r="AN8" s="44">
        <f t="shared" si="20"/>
        <v>14</v>
      </c>
      <c r="AO8" s="44">
        <f t="shared" si="20"/>
        <v>15</v>
      </c>
      <c r="AP8" s="44">
        <f t="shared" si="20"/>
        <v>16</v>
      </c>
      <c r="AQ8" s="26">
        <f t="shared" si="20"/>
        <v>17</v>
      </c>
      <c r="AS8" s="45">
        <f t="shared" ref="AS8:AY8" si="21">AS7+7</f>
        <v>15</v>
      </c>
      <c r="AT8" s="45">
        <f t="shared" si="21"/>
        <v>16</v>
      </c>
      <c r="AU8" s="45">
        <f t="shared" si="21"/>
        <v>17</v>
      </c>
      <c r="AV8" s="45">
        <f t="shared" si="21"/>
        <v>18</v>
      </c>
      <c r="AW8" s="25">
        <f t="shared" si="21"/>
        <v>18</v>
      </c>
      <c r="AX8" s="25">
        <f t="shared" si="21"/>
        <v>20</v>
      </c>
      <c r="AY8" s="25">
        <f t="shared" si="21"/>
        <v>21</v>
      </c>
      <c r="AZ8" s="8"/>
      <c r="BB8" s="28">
        <f t="shared" ref="BB8:BH8" si="22">BB7+7</f>
        <v>12</v>
      </c>
      <c r="BC8" s="28">
        <f t="shared" si="22"/>
        <v>13</v>
      </c>
      <c r="BD8" s="28">
        <f t="shared" si="22"/>
        <v>14</v>
      </c>
      <c r="BE8" s="28">
        <f t="shared" si="22"/>
        <v>15</v>
      </c>
      <c r="BF8" s="28">
        <f t="shared" si="22"/>
        <v>16</v>
      </c>
      <c r="BG8" s="28">
        <f t="shared" si="22"/>
        <v>17</v>
      </c>
      <c r="BH8" s="26">
        <f t="shared" si="22"/>
        <v>18</v>
      </c>
      <c r="BJ8" s="28">
        <f t="shared" si="23"/>
        <v>9</v>
      </c>
      <c r="BK8" s="28">
        <f t="shared" ref="BK8:BO8" si="24">BJ8+1</f>
        <v>10</v>
      </c>
      <c r="BL8" s="28">
        <f t="shared" si="24"/>
        <v>11</v>
      </c>
      <c r="BM8" s="28">
        <f t="shared" si="24"/>
        <v>12</v>
      </c>
      <c r="BN8" s="28">
        <f t="shared" si="24"/>
        <v>13</v>
      </c>
      <c r="BO8" s="28">
        <f t="shared" si="24"/>
        <v>14</v>
      </c>
      <c r="BP8" s="26">
        <f t="shared" ref="BP8:BP9" si="35">BP7+7</f>
        <v>15</v>
      </c>
      <c r="BR8" s="26">
        <f t="shared" ref="BR8:BX8" si="25">BR7+7</f>
        <v>9</v>
      </c>
      <c r="BS8" s="26">
        <f t="shared" si="25"/>
        <v>10</v>
      </c>
      <c r="BT8" s="26">
        <f t="shared" si="25"/>
        <v>11</v>
      </c>
      <c r="BU8" s="26">
        <f t="shared" si="25"/>
        <v>12</v>
      </c>
      <c r="BV8" s="26">
        <f t="shared" si="25"/>
        <v>13</v>
      </c>
      <c r="BW8" s="26">
        <f t="shared" si="25"/>
        <v>14</v>
      </c>
      <c r="BX8" s="26">
        <f t="shared" si="25"/>
        <v>15</v>
      </c>
      <c r="BY8" s="22"/>
      <c r="BZ8" s="10"/>
    </row>
    <row r="9" ht="9.75" customHeight="1">
      <c r="A9" s="13"/>
      <c r="C9" s="24">
        <f t="shared" ref="C9:I9" si="26">C8+7</f>
        <v>20</v>
      </c>
      <c r="D9" s="26">
        <f t="shared" si="26"/>
        <v>21</v>
      </c>
      <c r="E9" s="26">
        <f t="shared" si="26"/>
        <v>22</v>
      </c>
      <c r="F9" s="26">
        <f t="shared" si="26"/>
        <v>23</v>
      </c>
      <c r="G9" s="26">
        <f t="shared" si="26"/>
        <v>24</v>
      </c>
      <c r="H9" s="26">
        <f t="shared" si="26"/>
        <v>25</v>
      </c>
      <c r="I9" s="26">
        <f t="shared" si="26"/>
        <v>26</v>
      </c>
      <c r="K9" s="26">
        <f t="shared" ref="K9:Q9" si="27">K8+7</f>
        <v>17</v>
      </c>
      <c r="L9" s="26">
        <f t="shared" si="27"/>
        <v>18</v>
      </c>
      <c r="M9" s="26">
        <f t="shared" si="27"/>
        <v>19</v>
      </c>
      <c r="N9" s="26">
        <f t="shared" si="27"/>
        <v>20</v>
      </c>
      <c r="O9" s="26">
        <f t="shared" si="27"/>
        <v>21</v>
      </c>
      <c r="P9" s="26">
        <f t="shared" si="27"/>
        <v>22</v>
      </c>
      <c r="Q9" s="26">
        <f t="shared" si="27"/>
        <v>23</v>
      </c>
      <c r="S9" s="26">
        <f t="shared" ref="S9:Y9" si="28">S8+7</f>
        <v>17</v>
      </c>
      <c r="T9" s="26">
        <f t="shared" si="28"/>
        <v>18</v>
      </c>
      <c r="U9" s="26">
        <f t="shared" si="28"/>
        <v>19</v>
      </c>
      <c r="V9" s="26">
        <f t="shared" si="28"/>
        <v>20</v>
      </c>
      <c r="W9" s="26">
        <f t="shared" si="28"/>
        <v>21</v>
      </c>
      <c r="X9" s="26">
        <f t="shared" si="28"/>
        <v>22</v>
      </c>
      <c r="Y9" s="26">
        <f t="shared" si="28"/>
        <v>23</v>
      </c>
      <c r="Z9" s="18"/>
      <c r="AA9" s="8"/>
      <c r="AC9" s="28">
        <f t="shared" ref="AC9:AI9" si="29">AC8+7</f>
        <v>21</v>
      </c>
      <c r="AD9" s="28">
        <f t="shared" si="29"/>
        <v>22</v>
      </c>
      <c r="AE9" s="28">
        <f t="shared" si="29"/>
        <v>23</v>
      </c>
      <c r="AF9" s="28">
        <f t="shared" si="29"/>
        <v>24</v>
      </c>
      <c r="AG9" s="44">
        <f t="shared" si="29"/>
        <v>25</v>
      </c>
      <c r="AH9" s="28">
        <f t="shared" si="29"/>
        <v>26</v>
      </c>
      <c r="AI9" s="26">
        <f t="shared" si="29"/>
        <v>27</v>
      </c>
      <c r="AK9" s="28">
        <f t="shared" ref="AK9:AQ9" si="30">AK8+7</f>
        <v>18</v>
      </c>
      <c r="AL9" s="28">
        <f t="shared" si="30"/>
        <v>19</v>
      </c>
      <c r="AM9" s="38">
        <f t="shared" si="30"/>
        <v>20</v>
      </c>
      <c r="AN9" s="28">
        <f t="shared" si="30"/>
        <v>21</v>
      </c>
      <c r="AO9" s="44">
        <f t="shared" si="30"/>
        <v>22</v>
      </c>
      <c r="AP9" s="28">
        <f t="shared" si="30"/>
        <v>23</v>
      </c>
      <c r="AQ9" s="26">
        <f t="shared" si="30"/>
        <v>24</v>
      </c>
      <c r="AS9" s="25">
        <f t="shared" ref="AS9:AY9" si="31">AS8+7</f>
        <v>22</v>
      </c>
      <c r="AT9" s="25">
        <f t="shared" si="31"/>
        <v>23</v>
      </c>
      <c r="AU9" s="25">
        <f t="shared" si="31"/>
        <v>24</v>
      </c>
      <c r="AV9" s="25">
        <f t="shared" si="31"/>
        <v>25</v>
      </c>
      <c r="AW9" s="25">
        <f t="shared" si="31"/>
        <v>25</v>
      </c>
      <c r="AX9" s="25">
        <f t="shared" si="31"/>
        <v>27</v>
      </c>
      <c r="AY9" s="25">
        <f t="shared" si="31"/>
        <v>28</v>
      </c>
      <c r="AZ9" s="8"/>
      <c r="BB9" s="28">
        <f t="shared" ref="BB9:BH9" si="32">BB8+7</f>
        <v>19</v>
      </c>
      <c r="BC9" s="24">
        <f t="shared" si="32"/>
        <v>20</v>
      </c>
      <c r="BD9" s="28">
        <f t="shared" si="32"/>
        <v>21</v>
      </c>
      <c r="BE9" s="38">
        <f t="shared" si="32"/>
        <v>22</v>
      </c>
      <c r="BF9" s="28">
        <f t="shared" si="32"/>
        <v>23</v>
      </c>
      <c r="BG9" s="28">
        <f t="shared" si="32"/>
        <v>24</v>
      </c>
      <c r="BH9" s="26">
        <f t="shared" si="32"/>
        <v>25</v>
      </c>
      <c r="BJ9" s="26">
        <f t="shared" ref="BJ9:BL9" si="33">BJ8+7</f>
        <v>16</v>
      </c>
      <c r="BK9" s="24">
        <f t="shared" si="33"/>
        <v>17</v>
      </c>
      <c r="BL9" s="24">
        <f t="shared" si="33"/>
        <v>18</v>
      </c>
      <c r="BM9" s="51">
        <f t="shared" ref="BM9:BO9" si="34">BL9+1</f>
        <v>19</v>
      </c>
      <c r="BN9" s="29">
        <f t="shared" si="34"/>
        <v>20</v>
      </c>
      <c r="BO9" s="29">
        <f t="shared" si="34"/>
        <v>21</v>
      </c>
      <c r="BP9" s="26">
        <f t="shared" si="35"/>
        <v>22</v>
      </c>
      <c r="BR9" s="26">
        <f t="shared" ref="BR9:BX9" si="36">BR8+7</f>
        <v>16</v>
      </c>
      <c r="BS9" s="26">
        <f t="shared" si="36"/>
        <v>17</v>
      </c>
      <c r="BT9" s="26">
        <f t="shared" si="36"/>
        <v>18</v>
      </c>
      <c r="BU9" s="26">
        <f t="shared" si="36"/>
        <v>19</v>
      </c>
      <c r="BV9" s="26">
        <f t="shared" si="36"/>
        <v>20</v>
      </c>
      <c r="BW9" s="26">
        <f t="shared" si="36"/>
        <v>21</v>
      </c>
      <c r="BX9" s="26">
        <f t="shared" si="36"/>
        <v>22</v>
      </c>
      <c r="BY9" s="22"/>
      <c r="BZ9" s="10"/>
    </row>
    <row r="10" ht="9.75" customHeight="1">
      <c r="A10" s="13"/>
      <c r="C10" s="26">
        <f t="shared" ref="C10:G10" si="37">C9+7</f>
        <v>27</v>
      </c>
      <c r="D10" s="26">
        <f t="shared" si="37"/>
        <v>28</v>
      </c>
      <c r="E10" s="26">
        <f t="shared" si="37"/>
        <v>29</v>
      </c>
      <c r="F10" s="26">
        <f t="shared" si="37"/>
        <v>30</v>
      </c>
      <c r="G10" s="26">
        <f t="shared" si="37"/>
        <v>31</v>
      </c>
      <c r="H10" s="23"/>
      <c r="I10" s="23"/>
      <c r="K10" s="26">
        <f t="shared" ref="K10:O10" si="38">K9+7</f>
        <v>24</v>
      </c>
      <c r="L10" s="26">
        <f t="shared" si="38"/>
        <v>25</v>
      </c>
      <c r="M10" s="26">
        <f t="shared" si="38"/>
        <v>26</v>
      </c>
      <c r="N10" s="26">
        <f t="shared" si="38"/>
        <v>27</v>
      </c>
      <c r="O10" s="26">
        <f t="shared" si="38"/>
        <v>28</v>
      </c>
      <c r="P10" s="23"/>
      <c r="Q10" s="23"/>
      <c r="S10" s="26">
        <f t="shared" ref="S10:Y10" si="39">S9+7</f>
        <v>24</v>
      </c>
      <c r="T10" s="26">
        <f t="shared" si="39"/>
        <v>25</v>
      </c>
      <c r="U10" s="26">
        <f t="shared" si="39"/>
        <v>26</v>
      </c>
      <c r="V10" s="26">
        <f t="shared" si="39"/>
        <v>27</v>
      </c>
      <c r="W10" s="26">
        <f t="shared" si="39"/>
        <v>28</v>
      </c>
      <c r="X10" s="26">
        <f t="shared" si="39"/>
        <v>29</v>
      </c>
      <c r="Y10" s="26">
        <f t="shared" si="39"/>
        <v>30</v>
      </c>
      <c r="Z10" s="18"/>
      <c r="AA10" s="8"/>
      <c r="AC10" s="28">
        <f t="shared" ref="AC10:AF10" si="40">AC9+7</f>
        <v>28</v>
      </c>
      <c r="AD10" s="28">
        <f t="shared" si="40"/>
        <v>29</v>
      </c>
      <c r="AE10" s="28">
        <f t="shared" si="40"/>
        <v>30</v>
      </c>
      <c r="AF10" s="28">
        <f t="shared" si="40"/>
        <v>31</v>
      </c>
      <c r="AG10" s="23"/>
      <c r="AH10" s="23"/>
      <c r="AI10" s="23"/>
      <c r="AK10" s="28">
        <f t="shared" ref="AK10:AQ10" si="41">AK9+7</f>
        <v>25</v>
      </c>
      <c r="AL10" s="28">
        <f t="shared" si="41"/>
        <v>26</v>
      </c>
      <c r="AM10" s="28">
        <f t="shared" si="41"/>
        <v>27</v>
      </c>
      <c r="AN10" s="28">
        <f t="shared" si="41"/>
        <v>28</v>
      </c>
      <c r="AO10" s="52">
        <f t="shared" si="41"/>
        <v>29</v>
      </c>
      <c r="AP10" s="29">
        <f t="shared" si="41"/>
        <v>30</v>
      </c>
      <c r="AQ10" s="26">
        <f t="shared" si="41"/>
        <v>31</v>
      </c>
      <c r="AS10" s="25">
        <f t="shared" ref="AS10:AT10" si="42">AS9+7</f>
        <v>29</v>
      </c>
      <c r="AT10" s="28">
        <f t="shared" si="42"/>
        <v>30</v>
      </c>
      <c r="AU10" s="23"/>
      <c r="AV10" s="23"/>
      <c r="AW10" s="23"/>
      <c r="AX10" s="23"/>
      <c r="AY10" s="23"/>
      <c r="AZ10" s="8"/>
      <c r="BB10" s="44">
        <f t="shared" ref="BB10:BG10" si="43">BB9+7</f>
        <v>26</v>
      </c>
      <c r="BC10" s="44">
        <f t="shared" si="43"/>
        <v>27</v>
      </c>
      <c r="BD10" s="44">
        <f t="shared" si="43"/>
        <v>28</v>
      </c>
      <c r="BE10" s="44">
        <f t="shared" si="43"/>
        <v>29</v>
      </c>
      <c r="BF10" s="44">
        <f t="shared" si="43"/>
        <v>30</v>
      </c>
      <c r="BG10" s="44">
        <f t="shared" si="43"/>
        <v>31</v>
      </c>
      <c r="BH10" s="23"/>
      <c r="BJ10" s="29">
        <f t="shared" ref="BJ10:BO10" si="44">BJ9+7</f>
        <v>23</v>
      </c>
      <c r="BK10" s="30">
        <f t="shared" si="44"/>
        <v>24</v>
      </c>
      <c r="BL10" s="53">
        <f t="shared" si="44"/>
        <v>25</v>
      </c>
      <c r="BM10" s="53">
        <f t="shared" si="44"/>
        <v>26</v>
      </c>
      <c r="BN10" s="35">
        <f t="shared" si="44"/>
        <v>27</v>
      </c>
      <c r="BO10" s="35">
        <f t="shared" si="44"/>
        <v>28</v>
      </c>
      <c r="BP10" s="23"/>
      <c r="BR10" s="26">
        <f t="shared" ref="BR10:BX10" si="45">BR9+7</f>
        <v>23</v>
      </c>
      <c r="BS10" s="26">
        <f t="shared" si="45"/>
        <v>24</v>
      </c>
      <c r="BT10" s="26">
        <f t="shared" si="45"/>
        <v>25</v>
      </c>
      <c r="BU10" s="26">
        <f t="shared" si="45"/>
        <v>26</v>
      </c>
      <c r="BV10" s="26">
        <f t="shared" si="45"/>
        <v>27</v>
      </c>
      <c r="BW10" s="26">
        <f t="shared" si="45"/>
        <v>28</v>
      </c>
      <c r="BX10" s="26">
        <f t="shared" si="45"/>
        <v>29</v>
      </c>
      <c r="BY10" s="22"/>
      <c r="BZ10" s="10"/>
    </row>
    <row r="11" ht="9.75" customHeight="1">
      <c r="A11" s="13"/>
      <c r="C11" s="18"/>
      <c r="D11" s="18"/>
      <c r="E11" s="18"/>
      <c r="F11" s="18"/>
      <c r="G11" s="18"/>
      <c r="H11" s="18"/>
      <c r="I11" s="18"/>
      <c r="K11" s="18"/>
      <c r="L11" s="18"/>
      <c r="M11" s="18"/>
      <c r="N11" s="18"/>
      <c r="O11" s="18"/>
      <c r="P11" s="18"/>
      <c r="Q11" s="18"/>
      <c r="S11" s="25">
        <f>S10+7</f>
        <v>31</v>
      </c>
      <c r="T11" s="23"/>
      <c r="U11" s="23"/>
      <c r="V11" s="23"/>
      <c r="W11" s="23"/>
      <c r="X11" s="23"/>
      <c r="Y11" s="23"/>
      <c r="Z11" s="18"/>
      <c r="AA11" s="8"/>
      <c r="AC11" s="23"/>
      <c r="AD11" s="23"/>
      <c r="AE11" s="23"/>
      <c r="AF11" s="23"/>
      <c r="AG11" s="23"/>
      <c r="AH11" s="23"/>
      <c r="AI11" s="23"/>
      <c r="AK11" s="23"/>
      <c r="AL11" s="23"/>
      <c r="AM11" s="23"/>
      <c r="AN11" s="23"/>
      <c r="AO11" s="23"/>
      <c r="AP11" s="23"/>
      <c r="AQ11" s="23"/>
      <c r="AS11" s="23"/>
      <c r="AT11" s="23"/>
      <c r="AU11" s="23"/>
      <c r="AV11" s="23"/>
      <c r="AW11" s="23"/>
      <c r="AX11" s="23"/>
      <c r="AY11" s="23"/>
      <c r="AZ11" s="8"/>
      <c r="BB11" s="18"/>
      <c r="BC11" s="18"/>
      <c r="BD11" s="18"/>
      <c r="BE11" s="18"/>
      <c r="BF11" s="18"/>
      <c r="BG11" s="18"/>
      <c r="BH11" s="18"/>
      <c r="BJ11" s="18"/>
      <c r="BK11" s="18"/>
      <c r="BL11" s="18"/>
      <c r="BM11" s="18"/>
      <c r="BN11" s="18"/>
      <c r="BO11" s="18"/>
      <c r="BP11" s="18"/>
      <c r="BR11" s="26">
        <f t="shared" ref="BR11:BS11" si="46">BR10+7</f>
        <v>30</v>
      </c>
      <c r="BS11" s="26">
        <f t="shared" si="46"/>
        <v>31</v>
      </c>
      <c r="BT11" s="23"/>
      <c r="BU11" s="23"/>
      <c r="BV11" s="23"/>
      <c r="BW11" s="23"/>
      <c r="BX11" s="23"/>
      <c r="BY11" s="22"/>
      <c r="BZ11" s="10"/>
    </row>
    <row r="12" ht="12.75" customHeight="1">
      <c r="A12" s="13"/>
      <c r="C12" s="55">
        <v>0.0</v>
      </c>
      <c r="D12" s="56">
        <v>0.0</v>
      </c>
      <c r="E12" s="56">
        <v>0.0</v>
      </c>
      <c r="F12" s="56">
        <v>0.0</v>
      </c>
      <c r="G12" s="56">
        <v>0.0</v>
      </c>
      <c r="H12" s="56">
        <v>0.0</v>
      </c>
      <c r="I12" s="58">
        <f>SUM(C12:H12)</f>
        <v>0</v>
      </c>
      <c r="K12" s="55">
        <v>0.0</v>
      </c>
      <c r="L12" s="56">
        <v>0.0</v>
      </c>
      <c r="M12" s="56">
        <v>0.0</v>
      </c>
      <c r="N12" s="56">
        <v>0.0</v>
      </c>
      <c r="O12" s="56">
        <v>0.0</v>
      </c>
      <c r="P12" s="56">
        <v>0.0</v>
      </c>
      <c r="Q12" s="58">
        <f>SUM(K12:P12)</f>
        <v>0</v>
      </c>
      <c r="S12" s="55">
        <v>0.0</v>
      </c>
      <c r="T12" s="56">
        <v>0.0</v>
      </c>
      <c r="U12" s="56">
        <v>0.0</v>
      </c>
      <c r="V12" s="56">
        <v>0.0</v>
      </c>
      <c r="W12" s="56">
        <v>0.0</v>
      </c>
      <c r="X12" s="56">
        <v>0.0</v>
      </c>
      <c r="Y12" s="58">
        <f>SUM(S12:X12)</f>
        <v>0</v>
      </c>
      <c r="Z12" s="18"/>
      <c r="AA12" s="8"/>
      <c r="AC12" s="55">
        <v>4.0</v>
      </c>
      <c r="AD12" s="56">
        <v>5.0</v>
      </c>
      <c r="AE12" s="56">
        <v>4.0</v>
      </c>
      <c r="AF12" s="56">
        <v>5.0</v>
      </c>
      <c r="AG12" s="56">
        <v>4.0</v>
      </c>
      <c r="AH12" s="56">
        <v>4.0</v>
      </c>
      <c r="AI12" s="58">
        <f>SUM(AC12:AH12)</f>
        <v>26</v>
      </c>
      <c r="AK12" s="55">
        <v>4.0</v>
      </c>
      <c r="AL12" s="56">
        <v>4.0</v>
      </c>
      <c r="AM12" s="56">
        <v>3.0</v>
      </c>
      <c r="AN12" s="56">
        <v>4.0</v>
      </c>
      <c r="AO12" s="56">
        <v>4.0</v>
      </c>
      <c r="AP12" s="56">
        <v>3.0</v>
      </c>
      <c r="AQ12" s="58">
        <f>SUM(AK12:AP12)</f>
        <v>22</v>
      </c>
      <c r="AS12" s="55">
        <v>1.0</v>
      </c>
      <c r="AT12" s="56">
        <v>1.0</v>
      </c>
      <c r="AU12" s="56">
        <v>1.0</v>
      </c>
      <c r="AV12" s="56">
        <v>1.0</v>
      </c>
      <c r="AW12" s="56">
        <v>1.0</v>
      </c>
      <c r="AX12" s="56">
        <v>1.0</v>
      </c>
      <c r="AY12" s="58">
        <f>SUM(AS12:AX12)</f>
        <v>6</v>
      </c>
      <c r="AZ12" s="8"/>
      <c r="BB12" s="55">
        <v>3.0</v>
      </c>
      <c r="BC12" s="56">
        <v>2.0</v>
      </c>
      <c r="BD12" s="56">
        <v>3.0</v>
      </c>
      <c r="BE12" s="56">
        <v>3.0</v>
      </c>
      <c r="BF12" s="56">
        <v>3.0</v>
      </c>
      <c r="BG12" s="56">
        <v>3.0</v>
      </c>
      <c r="BH12" s="58">
        <f>SUM(BB12:BG12)</f>
        <v>17</v>
      </c>
      <c r="BJ12" s="55">
        <v>2.0</v>
      </c>
      <c r="BK12" s="56">
        <v>2.0</v>
      </c>
      <c r="BL12" s="56">
        <v>2.0</v>
      </c>
      <c r="BM12" s="56">
        <v>2.0</v>
      </c>
      <c r="BN12" s="56">
        <v>2.0</v>
      </c>
      <c r="BO12" s="56">
        <v>2.0</v>
      </c>
      <c r="BP12" s="58">
        <f>SUM(BJ12:BO12)</f>
        <v>12</v>
      </c>
      <c r="BR12" s="55">
        <v>0.0</v>
      </c>
      <c r="BS12" s="56">
        <v>0.0</v>
      </c>
      <c r="BT12" s="56">
        <v>0.0</v>
      </c>
      <c r="BU12" s="56"/>
      <c r="BV12" s="56"/>
      <c r="BW12" s="56"/>
      <c r="BX12" s="58">
        <f>SUM(BR12:BW12)</f>
        <v>0</v>
      </c>
      <c r="BY12" s="22"/>
      <c r="BZ12" s="10"/>
    </row>
    <row r="13" ht="4.5" customHeight="1">
      <c r="A13" s="13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0"/>
    </row>
    <row r="14" ht="9.75" customHeight="1">
      <c r="A14" s="13"/>
      <c r="B14" s="15" t="s">
        <v>15</v>
      </c>
      <c r="C14" s="16" t="s">
        <v>6</v>
      </c>
      <c r="D14" s="17" t="s">
        <v>7</v>
      </c>
      <c r="E14" s="17" t="s">
        <v>8</v>
      </c>
      <c r="F14" s="17" t="s">
        <v>8</v>
      </c>
      <c r="G14" s="17" t="s">
        <v>6</v>
      </c>
      <c r="H14" s="17" t="s">
        <v>6</v>
      </c>
      <c r="I14" s="16" t="s">
        <v>9</v>
      </c>
      <c r="J14" s="15" t="s">
        <v>16</v>
      </c>
      <c r="K14" s="20" t="s">
        <v>6</v>
      </c>
      <c r="L14" s="20" t="s">
        <v>7</v>
      </c>
      <c r="M14" s="17" t="s">
        <v>8</v>
      </c>
      <c r="N14" s="17" t="s">
        <v>8</v>
      </c>
      <c r="O14" s="17" t="s">
        <v>6</v>
      </c>
      <c r="P14" s="17" t="s">
        <v>6</v>
      </c>
      <c r="Q14" s="16" t="s">
        <v>9</v>
      </c>
      <c r="R14" s="15" t="s">
        <v>17</v>
      </c>
      <c r="S14" s="20" t="s">
        <v>6</v>
      </c>
      <c r="T14" s="17" t="s">
        <v>7</v>
      </c>
      <c r="U14" s="17" t="s">
        <v>8</v>
      </c>
      <c r="V14" s="17" t="s">
        <v>8</v>
      </c>
      <c r="W14" s="17" t="s">
        <v>6</v>
      </c>
      <c r="X14" s="17" t="s">
        <v>6</v>
      </c>
      <c r="Y14" s="16" t="s">
        <v>9</v>
      </c>
      <c r="Z14" s="18"/>
      <c r="AA14" s="8"/>
      <c r="AB14" s="19" t="s">
        <v>18</v>
      </c>
      <c r="AC14" s="20" t="s">
        <v>6</v>
      </c>
      <c r="AD14" s="17" t="s">
        <v>7</v>
      </c>
      <c r="AE14" s="17" t="s">
        <v>8</v>
      </c>
      <c r="AF14" s="17" t="s">
        <v>8</v>
      </c>
      <c r="AG14" s="17" t="s">
        <v>6</v>
      </c>
      <c r="AH14" s="17" t="s">
        <v>6</v>
      </c>
      <c r="AI14" s="16" t="s">
        <v>9</v>
      </c>
      <c r="AJ14" s="19" t="s">
        <v>19</v>
      </c>
      <c r="AK14" s="20" t="s">
        <v>6</v>
      </c>
      <c r="AL14" s="17" t="s">
        <v>7</v>
      </c>
      <c r="AM14" s="17" t="s">
        <v>8</v>
      </c>
      <c r="AN14" s="17" t="s">
        <v>8</v>
      </c>
      <c r="AO14" s="17" t="s">
        <v>6</v>
      </c>
      <c r="AP14" s="17" t="s">
        <v>6</v>
      </c>
      <c r="AQ14" s="16" t="s">
        <v>9</v>
      </c>
      <c r="AR14" s="19" t="s">
        <v>20</v>
      </c>
      <c r="AS14" s="20" t="s">
        <v>6</v>
      </c>
      <c r="AT14" s="17" t="s">
        <v>7</v>
      </c>
      <c r="AU14" s="17" t="s">
        <v>8</v>
      </c>
      <c r="AV14" s="17" t="s">
        <v>8</v>
      </c>
      <c r="AW14" s="17" t="s">
        <v>6</v>
      </c>
      <c r="AX14" s="17" t="s">
        <v>6</v>
      </c>
      <c r="AY14" s="16" t="s">
        <v>9</v>
      </c>
      <c r="AZ14" s="8"/>
      <c r="BA14" s="15" t="s">
        <v>15</v>
      </c>
      <c r="BB14" s="16" t="s">
        <v>6</v>
      </c>
      <c r="BC14" s="17" t="s">
        <v>7</v>
      </c>
      <c r="BD14" s="17" t="s">
        <v>8</v>
      </c>
      <c r="BE14" s="17" t="s">
        <v>8</v>
      </c>
      <c r="BF14" s="17" t="s">
        <v>6</v>
      </c>
      <c r="BG14" s="17" t="s">
        <v>6</v>
      </c>
      <c r="BH14" s="16" t="s">
        <v>9</v>
      </c>
      <c r="BI14" s="15" t="s">
        <v>16</v>
      </c>
      <c r="BJ14" s="20" t="s">
        <v>6</v>
      </c>
      <c r="BK14" s="20" t="s">
        <v>7</v>
      </c>
      <c r="BL14" s="17" t="s">
        <v>8</v>
      </c>
      <c r="BM14" s="17" t="s">
        <v>8</v>
      </c>
      <c r="BN14" s="17" t="s">
        <v>6</v>
      </c>
      <c r="BO14" s="17" t="s">
        <v>6</v>
      </c>
      <c r="BP14" s="16" t="s">
        <v>9</v>
      </c>
      <c r="BQ14" s="15" t="s">
        <v>17</v>
      </c>
      <c r="BR14" s="20" t="s">
        <v>6</v>
      </c>
      <c r="BS14" s="17" t="s">
        <v>7</v>
      </c>
      <c r="BT14" s="17" t="s">
        <v>8</v>
      </c>
      <c r="BU14" s="17" t="s">
        <v>8</v>
      </c>
      <c r="BV14" s="17" t="s">
        <v>6</v>
      </c>
      <c r="BW14" s="17" t="s">
        <v>6</v>
      </c>
      <c r="BX14" s="16" t="s">
        <v>9</v>
      </c>
      <c r="BY14" s="60"/>
      <c r="BZ14" s="10"/>
    </row>
    <row r="15" ht="9.75" customHeight="1">
      <c r="A15" s="13"/>
      <c r="C15" s="23"/>
      <c r="D15" s="25">
        <v>1.0</v>
      </c>
      <c r="E15" s="25">
        <f t="shared" ref="E15:I15" si="47">D15+1</f>
        <v>2</v>
      </c>
      <c r="F15" s="25">
        <f t="shared" si="47"/>
        <v>3</v>
      </c>
      <c r="G15" s="25">
        <f t="shared" si="47"/>
        <v>4</v>
      </c>
      <c r="H15" s="25">
        <f t="shared" si="47"/>
        <v>5</v>
      </c>
      <c r="I15" s="25">
        <f t="shared" si="47"/>
        <v>6</v>
      </c>
      <c r="K15" s="23"/>
      <c r="L15" s="23"/>
      <c r="M15" s="23"/>
      <c r="N15" s="24">
        <v>1.0</v>
      </c>
      <c r="O15" s="28">
        <f t="shared" ref="O15:Q15" si="48">N15+1</f>
        <v>2</v>
      </c>
      <c r="P15" s="28">
        <f t="shared" si="48"/>
        <v>3</v>
      </c>
      <c r="Q15" s="26">
        <f t="shared" si="48"/>
        <v>4</v>
      </c>
      <c r="S15" s="23"/>
      <c r="T15" s="23"/>
      <c r="U15" s="23"/>
      <c r="V15" s="23"/>
      <c r="W15" s="23"/>
      <c r="X15" s="23"/>
      <c r="Y15" s="26">
        <v>1.0</v>
      </c>
      <c r="Z15" s="18"/>
      <c r="AA15" s="8"/>
      <c r="AC15" s="23"/>
      <c r="AD15" s="23"/>
      <c r="AE15" s="37">
        <v>1.0</v>
      </c>
      <c r="AF15" s="28">
        <f t="shared" ref="AF15:AI15" si="49">AE15+1</f>
        <v>2</v>
      </c>
      <c r="AG15" s="28">
        <f t="shared" si="49"/>
        <v>3</v>
      </c>
      <c r="AH15" s="28">
        <f t="shared" si="49"/>
        <v>4</v>
      </c>
      <c r="AI15" s="26">
        <f t="shared" si="49"/>
        <v>5</v>
      </c>
      <c r="AK15" s="23"/>
      <c r="AL15" s="23"/>
      <c r="AM15" s="23"/>
      <c r="AN15" s="23"/>
      <c r="AO15" s="23"/>
      <c r="AP15" s="28">
        <v>1.0</v>
      </c>
      <c r="AQ15" s="24">
        <f>AP15+1</f>
        <v>2</v>
      </c>
      <c r="AS15" s="28">
        <v>1.0</v>
      </c>
      <c r="AT15" s="28">
        <v>2.0</v>
      </c>
      <c r="AU15" s="28">
        <f t="shared" ref="AU15:AY15" si="50">AT15+1</f>
        <v>3</v>
      </c>
      <c r="AV15" s="28">
        <f t="shared" si="50"/>
        <v>4</v>
      </c>
      <c r="AW15" s="28">
        <f t="shared" si="50"/>
        <v>5</v>
      </c>
      <c r="AX15" s="28">
        <f t="shared" si="50"/>
        <v>6</v>
      </c>
      <c r="AY15" s="26">
        <f t="shared" si="50"/>
        <v>7</v>
      </c>
      <c r="AZ15" s="8"/>
      <c r="BB15" s="23"/>
      <c r="BC15" s="23"/>
      <c r="BD15" s="28">
        <v>1.0</v>
      </c>
      <c r="BE15" s="28">
        <f t="shared" ref="BE15:BH15" si="51">BD15+1</f>
        <v>2</v>
      </c>
      <c r="BF15" s="24">
        <f t="shared" si="51"/>
        <v>3</v>
      </c>
      <c r="BG15" s="28">
        <f t="shared" si="51"/>
        <v>4</v>
      </c>
      <c r="BH15" s="28">
        <f t="shared" si="51"/>
        <v>5</v>
      </c>
      <c r="BJ15" s="23"/>
      <c r="BK15" s="23"/>
      <c r="BL15" s="23"/>
      <c r="BM15" s="23"/>
      <c r="BN15" s="24">
        <v>1.0</v>
      </c>
      <c r="BO15" s="28">
        <f t="shared" ref="BO15:BP15" si="52">BN15+1</f>
        <v>2</v>
      </c>
      <c r="BP15" s="28">
        <f t="shared" si="52"/>
        <v>3</v>
      </c>
      <c r="BR15" s="28">
        <v>1.0</v>
      </c>
      <c r="BS15" s="28">
        <v>2.0</v>
      </c>
      <c r="BT15" s="28">
        <v>3.0</v>
      </c>
      <c r="BU15" s="24">
        <v>4.0</v>
      </c>
      <c r="BV15" s="28">
        <v>5.0</v>
      </c>
      <c r="BW15" s="28">
        <v>6.0</v>
      </c>
      <c r="BX15" s="28">
        <v>7.0</v>
      </c>
      <c r="BY15" s="22"/>
      <c r="BZ15" s="10"/>
    </row>
    <row r="16" ht="9.75" customHeight="1">
      <c r="A16" s="13"/>
      <c r="C16" s="25">
        <f t="shared" ref="C16:I16" si="53">C15+7</f>
        <v>7</v>
      </c>
      <c r="D16" s="25">
        <f t="shared" si="53"/>
        <v>8</v>
      </c>
      <c r="E16" s="25">
        <f t="shared" si="53"/>
        <v>9</v>
      </c>
      <c r="F16" s="25">
        <f t="shared" si="53"/>
        <v>10</v>
      </c>
      <c r="G16" s="25">
        <f t="shared" si="53"/>
        <v>11</v>
      </c>
      <c r="H16" s="25">
        <f t="shared" si="53"/>
        <v>12</v>
      </c>
      <c r="I16" s="25">
        <f t="shared" si="53"/>
        <v>13</v>
      </c>
      <c r="K16" s="28">
        <f>Q15+1</f>
        <v>5</v>
      </c>
      <c r="L16" s="28">
        <f t="shared" ref="L16:O16" si="54">K16+1</f>
        <v>6</v>
      </c>
      <c r="M16" s="28">
        <f t="shared" si="54"/>
        <v>7</v>
      </c>
      <c r="N16" s="28">
        <f t="shared" si="54"/>
        <v>8</v>
      </c>
      <c r="O16" s="28">
        <f t="shared" si="54"/>
        <v>9</v>
      </c>
      <c r="P16" s="26">
        <f>P15+7</f>
        <v>10</v>
      </c>
      <c r="Q16" s="26">
        <f>P16+1</f>
        <v>11</v>
      </c>
      <c r="S16" s="28">
        <f>Y15+1</f>
        <v>2</v>
      </c>
      <c r="T16" s="28">
        <f t="shared" ref="T16:Y16" si="55">S16+1</f>
        <v>3</v>
      </c>
      <c r="U16" s="28">
        <f t="shared" si="55"/>
        <v>4</v>
      </c>
      <c r="V16" s="28">
        <f t="shared" si="55"/>
        <v>5</v>
      </c>
      <c r="W16" s="28">
        <f t="shared" si="55"/>
        <v>6</v>
      </c>
      <c r="X16" s="28">
        <f t="shared" si="55"/>
        <v>7</v>
      </c>
      <c r="Y16" s="26">
        <f t="shared" si="55"/>
        <v>8</v>
      </c>
      <c r="Z16" s="18"/>
      <c r="AA16" s="8"/>
      <c r="AC16" s="28">
        <v>6.0</v>
      </c>
      <c r="AD16" s="28">
        <f t="shared" ref="AD16:AI16" si="56">AD15+7</f>
        <v>7</v>
      </c>
      <c r="AE16" s="28">
        <f t="shared" si="56"/>
        <v>8</v>
      </c>
      <c r="AF16" s="28">
        <f t="shared" si="56"/>
        <v>9</v>
      </c>
      <c r="AG16" s="28">
        <f t="shared" si="56"/>
        <v>10</v>
      </c>
      <c r="AH16" s="28">
        <f t="shared" si="56"/>
        <v>11</v>
      </c>
      <c r="AI16" s="24">
        <f t="shared" si="56"/>
        <v>12</v>
      </c>
      <c r="AK16" s="28">
        <v>3.0</v>
      </c>
      <c r="AL16" s="28">
        <f t="shared" ref="AL16:AQ16" si="57">AK16+1</f>
        <v>4</v>
      </c>
      <c r="AM16" s="28">
        <f t="shared" si="57"/>
        <v>5</v>
      </c>
      <c r="AN16" s="28">
        <f t="shared" si="57"/>
        <v>6</v>
      </c>
      <c r="AO16" s="28">
        <f t="shared" si="57"/>
        <v>7</v>
      </c>
      <c r="AP16" s="28">
        <f t="shared" si="57"/>
        <v>8</v>
      </c>
      <c r="AQ16" s="26">
        <f t="shared" si="57"/>
        <v>9</v>
      </c>
      <c r="AS16" s="28">
        <f t="shared" ref="AS16:AY16" si="58">AS15+7</f>
        <v>8</v>
      </c>
      <c r="AT16" s="28">
        <f t="shared" si="58"/>
        <v>9</v>
      </c>
      <c r="AU16" s="38">
        <f t="shared" si="58"/>
        <v>10</v>
      </c>
      <c r="AV16" s="28">
        <f t="shared" si="58"/>
        <v>11</v>
      </c>
      <c r="AW16" s="28">
        <f t="shared" si="58"/>
        <v>12</v>
      </c>
      <c r="AX16" s="28">
        <f t="shared" si="58"/>
        <v>13</v>
      </c>
      <c r="AY16" s="26">
        <f t="shared" si="58"/>
        <v>14</v>
      </c>
      <c r="AZ16" s="8"/>
      <c r="BB16" s="28">
        <f t="shared" ref="BB16:BH16" si="59">BB15+7</f>
        <v>7</v>
      </c>
      <c r="BC16" s="28">
        <f t="shared" si="59"/>
        <v>7</v>
      </c>
      <c r="BD16" s="28">
        <f t="shared" si="59"/>
        <v>8</v>
      </c>
      <c r="BE16" s="28">
        <f t="shared" si="59"/>
        <v>9</v>
      </c>
      <c r="BF16" s="28">
        <f t="shared" si="59"/>
        <v>10</v>
      </c>
      <c r="BG16" s="28">
        <f t="shared" si="59"/>
        <v>11</v>
      </c>
      <c r="BH16" s="28">
        <f t="shared" si="59"/>
        <v>12</v>
      </c>
      <c r="BJ16" s="28">
        <f>BP15+1</f>
        <v>4</v>
      </c>
      <c r="BK16" s="28">
        <f t="shared" ref="BK16:BP16" si="60">BJ16+1</f>
        <v>5</v>
      </c>
      <c r="BL16" s="28">
        <f t="shared" si="60"/>
        <v>6</v>
      </c>
      <c r="BM16" s="28">
        <f t="shared" si="60"/>
        <v>7</v>
      </c>
      <c r="BN16" s="28">
        <f t="shared" si="60"/>
        <v>8</v>
      </c>
      <c r="BO16" s="28">
        <f t="shared" si="60"/>
        <v>9</v>
      </c>
      <c r="BP16" s="28">
        <f t="shared" si="60"/>
        <v>10</v>
      </c>
      <c r="BR16" s="28">
        <f>BX15+1</f>
        <v>8</v>
      </c>
      <c r="BS16" s="28">
        <f t="shared" ref="BS16:BX16" si="61">BR16+1</f>
        <v>9</v>
      </c>
      <c r="BT16" s="28">
        <f t="shared" si="61"/>
        <v>10</v>
      </c>
      <c r="BU16" s="24">
        <f t="shared" si="61"/>
        <v>11</v>
      </c>
      <c r="BV16" s="28">
        <f t="shared" si="61"/>
        <v>12</v>
      </c>
      <c r="BW16" s="28">
        <f t="shared" si="61"/>
        <v>13</v>
      </c>
      <c r="BX16" s="28">
        <f t="shared" si="61"/>
        <v>14</v>
      </c>
      <c r="BY16" s="22"/>
      <c r="BZ16" s="10"/>
    </row>
    <row r="17" ht="9.75" customHeight="1">
      <c r="A17" s="13"/>
      <c r="C17" s="25">
        <f t="shared" ref="C17:I17" si="62">C16+7</f>
        <v>14</v>
      </c>
      <c r="D17" s="25">
        <f t="shared" si="62"/>
        <v>15</v>
      </c>
      <c r="E17" s="25">
        <f t="shared" si="62"/>
        <v>16</v>
      </c>
      <c r="F17" s="25">
        <f t="shared" si="62"/>
        <v>17</v>
      </c>
      <c r="G17" s="24">
        <f t="shared" si="62"/>
        <v>18</v>
      </c>
      <c r="H17" s="26">
        <f t="shared" si="62"/>
        <v>19</v>
      </c>
      <c r="I17" s="26">
        <f t="shared" si="62"/>
        <v>20</v>
      </c>
      <c r="K17" s="28">
        <f t="shared" ref="K17:Q17" si="63">K16+7</f>
        <v>12</v>
      </c>
      <c r="L17" s="28">
        <f t="shared" si="63"/>
        <v>13</v>
      </c>
      <c r="M17" s="38">
        <f t="shared" si="63"/>
        <v>14</v>
      </c>
      <c r="N17" s="28">
        <f t="shared" si="63"/>
        <v>15</v>
      </c>
      <c r="O17" s="28">
        <f t="shared" si="63"/>
        <v>16</v>
      </c>
      <c r="P17" s="28">
        <f t="shared" si="63"/>
        <v>17</v>
      </c>
      <c r="Q17" s="26">
        <f t="shared" si="63"/>
        <v>18</v>
      </c>
      <c r="S17" s="28">
        <f t="shared" ref="S17:Y17" si="64">S16+7</f>
        <v>9</v>
      </c>
      <c r="T17" s="28">
        <f t="shared" si="64"/>
        <v>10</v>
      </c>
      <c r="U17" s="24">
        <f t="shared" si="64"/>
        <v>11</v>
      </c>
      <c r="V17" s="28">
        <f t="shared" si="64"/>
        <v>12</v>
      </c>
      <c r="W17" s="28">
        <f t="shared" si="64"/>
        <v>13</v>
      </c>
      <c r="X17" s="28">
        <f t="shared" si="64"/>
        <v>14</v>
      </c>
      <c r="Y17" s="26">
        <f t="shared" si="64"/>
        <v>15</v>
      </c>
      <c r="Z17" s="18"/>
      <c r="AA17" s="8"/>
      <c r="AC17" s="28">
        <f t="shared" ref="AC17:AI17" si="65">AC16+7</f>
        <v>13</v>
      </c>
      <c r="AD17" s="28">
        <f t="shared" si="65"/>
        <v>14</v>
      </c>
      <c r="AE17" s="38">
        <f t="shared" si="65"/>
        <v>15</v>
      </c>
      <c r="AF17" s="28">
        <f t="shared" si="65"/>
        <v>16</v>
      </c>
      <c r="AG17" s="28">
        <f t="shared" si="65"/>
        <v>17</v>
      </c>
      <c r="AH17" s="28">
        <f t="shared" si="65"/>
        <v>18</v>
      </c>
      <c r="AI17" s="26">
        <f t="shared" si="65"/>
        <v>19</v>
      </c>
      <c r="AK17" s="28">
        <f t="shared" ref="AK17:AQ17" si="66">AK16+7</f>
        <v>10</v>
      </c>
      <c r="AL17" s="28">
        <f t="shared" si="66"/>
        <v>11</v>
      </c>
      <c r="AM17" s="38">
        <f t="shared" si="66"/>
        <v>12</v>
      </c>
      <c r="AN17" s="28">
        <f t="shared" si="66"/>
        <v>13</v>
      </c>
      <c r="AO17" s="28">
        <f t="shared" si="66"/>
        <v>14</v>
      </c>
      <c r="AP17" s="24">
        <f t="shared" si="66"/>
        <v>15</v>
      </c>
      <c r="AQ17" s="26">
        <f t="shared" si="66"/>
        <v>16</v>
      </c>
      <c r="AS17" s="28">
        <f t="shared" ref="AS17:AY17" si="67">AS16+7</f>
        <v>15</v>
      </c>
      <c r="AT17" s="28">
        <f t="shared" si="67"/>
        <v>16</v>
      </c>
      <c r="AU17" s="28">
        <f t="shared" si="67"/>
        <v>17</v>
      </c>
      <c r="AV17" s="28">
        <f t="shared" si="67"/>
        <v>18</v>
      </c>
      <c r="AW17" s="28">
        <f t="shared" si="67"/>
        <v>19</v>
      </c>
      <c r="AX17" s="28">
        <f t="shared" si="67"/>
        <v>20</v>
      </c>
      <c r="AY17" s="26">
        <f t="shared" si="67"/>
        <v>21</v>
      </c>
      <c r="AZ17" s="8"/>
      <c r="BB17" s="28">
        <f t="shared" ref="BB17:BH17" si="68">BB16+7</f>
        <v>14</v>
      </c>
      <c r="BC17" s="28">
        <f t="shared" si="68"/>
        <v>14</v>
      </c>
      <c r="BD17" s="28">
        <f t="shared" si="68"/>
        <v>15</v>
      </c>
      <c r="BE17" s="28">
        <f t="shared" si="68"/>
        <v>16</v>
      </c>
      <c r="BF17" s="28">
        <f t="shared" si="68"/>
        <v>17</v>
      </c>
      <c r="BG17" s="28">
        <f t="shared" si="68"/>
        <v>18</v>
      </c>
      <c r="BH17" s="28">
        <f t="shared" si="68"/>
        <v>19</v>
      </c>
      <c r="BJ17" s="28">
        <f t="shared" ref="BJ17:BP17" si="69">BJ16+7</f>
        <v>11</v>
      </c>
      <c r="BK17" s="28">
        <f t="shared" si="69"/>
        <v>12</v>
      </c>
      <c r="BL17" s="28">
        <f t="shared" si="69"/>
        <v>13</v>
      </c>
      <c r="BM17" s="28">
        <f t="shared" si="69"/>
        <v>14</v>
      </c>
      <c r="BN17" s="28">
        <f t="shared" si="69"/>
        <v>15</v>
      </c>
      <c r="BO17" s="28">
        <f t="shared" si="69"/>
        <v>16</v>
      </c>
      <c r="BP17" s="28">
        <f t="shared" si="69"/>
        <v>17</v>
      </c>
      <c r="BR17" s="28">
        <f t="shared" ref="BR17:BX17" si="70">BR16+7</f>
        <v>15</v>
      </c>
      <c r="BS17" s="28">
        <f t="shared" si="70"/>
        <v>16</v>
      </c>
      <c r="BT17" s="28">
        <f t="shared" si="70"/>
        <v>17</v>
      </c>
      <c r="BU17" s="28">
        <f t="shared" si="70"/>
        <v>18</v>
      </c>
      <c r="BV17" s="28">
        <f t="shared" si="70"/>
        <v>19</v>
      </c>
      <c r="BW17" s="28">
        <f t="shared" si="70"/>
        <v>20</v>
      </c>
      <c r="BX17" s="28">
        <f t="shared" si="70"/>
        <v>21</v>
      </c>
      <c r="BY17" s="22"/>
      <c r="BZ17" s="10"/>
    </row>
    <row r="18" ht="9.75" customHeight="1">
      <c r="A18" s="13"/>
      <c r="C18" s="24">
        <f t="shared" ref="C18:I18" si="71">C17+7</f>
        <v>21</v>
      </c>
      <c r="D18" s="65">
        <f t="shared" si="71"/>
        <v>22</v>
      </c>
      <c r="E18" s="66">
        <f t="shared" si="71"/>
        <v>23</v>
      </c>
      <c r="F18" s="28">
        <f t="shared" si="71"/>
        <v>24</v>
      </c>
      <c r="G18" s="28">
        <f t="shared" si="71"/>
        <v>25</v>
      </c>
      <c r="H18" s="28">
        <f t="shared" si="71"/>
        <v>26</v>
      </c>
      <c r="I18" s="26">
        <f t="shared" si="71"/>
        <v>27</v>
      </c>
      <c r="K18" s="28">
        <f t="shared" ref="K18:Q18" si="72">K17+7</f>
        <v>19</v>
      </c>
      <c r="L18" s="28">
        <f t="shared" si="72"/>
        <v>20</v>
      </c>
      <c r="M18" s="28">
        <f t="shared" si="72"/>
        <v>21</v>
      </c>
      <c r="N18" s="28">
        <f t="shared" si="72"/>
        <v>22</v>
      </c>
      <c r="O18" s="28">
        <f t="shared" si="72"/>
        <v>23</v>
      </c>
      <c r="P18" s="28">
        <f t="shared" si="72"/>
        <v>24</v>
      </c>
      <c r="Q18" s="26">
        <f t="shared" si="72"/>
        <v>25</v>
      </c>
      <c r="S18" s="28">
        <f t="shared" ref="S18:Y18" si="73">S17+7</f>
        <v>16</v>
      </c>
      <c r="T18" s="28">
        <f t="shared" si="73"/>
        <v>17</v>
      </c>
      <c r="U18" s="28">
        <f t="shared" si="73"/>
        <v>18</v>
      </c>
      <c r="V18" s="24">
        <f t="shared" si="73"/>
        <v>19</v>
      </c>
      <c r="W18" s="26">
        <f t="shared" si="73"/>
        <v>20</v>
      </c>
      <c r="X18" s="26">
        <f t="shared" si="73"/>
        <v>21</v>
      </c>
      <c r="Y18" s="26">
        <f t="shared" si="73"/>
        <v>22</v>
      </c>
      <c r="Z18" s="18"/>
      <c r="AA18" s="8"/>
      <c r="AC18" s="28">
        <f t="shared" ref="AC18:AI18" si="74">AC17+7</f>
        <v>20</v>
      </c>
      <c r="AD18" s="28">
        <f t="shared" si="74"/>
        <v>21</v>
      </c>
      <c r="AE18" s="28">
        <f t="shared" si="74"/>
        <v>22</v>
      </c>
      <c r="AF18" s="28">
        <f t="shared" si="74"/>
        <v>23</v>
      </c>
      <c r="AG18" s="44">
        <f t="shared" si="74"/>
        <v>24</v>
      </c>
      <c r="AH18" s="44">
        <f t="shared" si="74"/>
        <v>25</v>
      </c>
      <c r="AI18" s="26">
        <f t="shared" si="74"/>
        <v>26</v>
      </c>
      <c r="AK18" s="28">
        <f t="shared" ref="AK18:AQ18" si="75">AK17+7</f>
        <v>17</v>
      </c>
      <c r="AL18" s="28">
        <f t="shared" si="75"/>
        <v>18</v>
      </c>
      <c r="AM18" s="44">
        <f t="shared" si="75"/>
        <v>19</v>
      </c>
      <c r="AN18" s="24">
        <f t="shared" si="75"/>
        <v>20</v>
      </c>
      <c r="AO18" s="28">
        <f t="shared" si="75"/>
        <v>21</v>
      </c>
      <c r="AP18" s="28">
        <f t="shared" si="75"/>
        <v>22</v>
      </c>
      <c r="AQ18" s="26">
        <f t="shared" si="75"/>
        <v>23</v>
      </c>
      <c r="AS18" s="26">
        <f t="shared" ref="AS18:AY18" si="76">AS17+7</f>
        <v>22</v>
      </c>
      <c r="AT18" s="26">
        <f t="shared" si="76"/>
        <v>23</v>
      </c>
      <c r="AU18" s="26">
        <f t="shared" si="76"/>
        <v>24</v>
      </c>
      <c r="AV18" s="24">
        <f t="shared" si="76"/>
        <v>25</v>
      </c>
      <c r="AW18" s="26">
        <f t="shared" si="76"/>
        <v>26</v>
      </c>
      <c r="AX18" s="26">
        <f t="shared" si="76"/>
        <v>27</v>
      </c>
      <c r="AY18" s="26">
        <f t="shared" si="76"/>
        <v>28</v>
      </c>
      <c r="AZ18" s="8"/>
      <c r="BB18" s="28">
        <v>20.0</v>
      </c>
      <c r="BC18" s="24">
        <f t="shared" ref="BC18:BH18" si="77">BC17+7</f>
        <v>21</v>
      </c>
      <c r="BD18" s="28">
        <f t="shared" si="77"/>
        <v>22</v>
      </c>
      <c r="BE18" s="28">
        <f t="shared" si="77"/>
        <v>23</v>
      </c>
      <c r="BF18" s="28">
        <f t="shared" si="77"/>
        <v>24</v>
      </c>
      <c r="BG18" s="28">
        <f t="shared" si="77"/>
        <v>25</v>
      </c>
      <c r="BH18" s="28">
        <f t="shared" si="77"/>
        <v>26</v>
      </c>
      <c r="BJ18" s="28">
        <f t="shared" ref="BJ18:BP18" si="78">BJ17+7</f>
        <v>18</v>
      </c>
      <c r="BK18" s="28">
        <f t="shared" si="78"/>
        <v>19</v>
      </c>
      <c r="BL18" s="28">
        <f t="shared" si="78"/>
        <v>20</v>
      </c>
      <c r="BM18" s="28">
        <f t="shared" si="78"/>
        <v>21</v>
      </c>
      <c r="BN18" s="28">
        <f t="shared" si="78"/>
        <v>22</v>
      </c>
      <c r="BO18" s="28">
        <f t="shared" si="78"/>
        <v>23</v>
      </c>
      <c r="BP18" s="28">
        <f t="shared" si="78"/>
        <v>24</v>
      </c>
      <c r="BR18" s="28">
        <f t="shared" ref="BR18:BX18" si="79">BR17+7</f>
        <v>22</v>
      </c>
      <c r="BS18" s="28">
        <f t="shared" si="79"/>
        <v>23</v>
      </c>
      <c r="BT18" s="24">
        <f t="shared" si="79"/>
        <v>24</v>
      </c>
      <c r="BU18" s="28">
        <f t="shared" si="79"/>
        <v>25</v>
      </c>
      <c r="BV18" s="28">
        <f t="shared" si="79"/>
        <v>26</v>
      </c>
      <c r="BW18" s="28">
        <f t="shared" si="79"/>
        <v>27</v>
      </c>
      <c r="BX18" s="28">
        <f t="shared" si="79"/>
        <v>28</v>
      </c>
      <c r="BY18" s="22"/>
      <c r="BZ18" s="10"/>
    </row>
    <row r="19" ht="9.75" customHeight="1">
      <c r="A19" s="13"/>
      <c r="C19" s="28">
        <f t="shared" ref="C19:E19" si="80">C18+7</f>
        <v>28</v>
      </c>
      <c r="D19" s="28">
        <f t="shared" si="80"/>
        <v>29</v>
      </c>
      <c r="E19" s="28">
        <f t="shared" si="80"/>
        <v>30</v>
      </c>
      <c r="F19" s="23"/>
      <c r="G19" s="23"/>
      <c r="H19" s="23"/>
      <c r="I19" s="23"/>
      <c r="K19" s="28">
        <f t="shared" ref="K19:P19" si="81">K18+7</f>
        <v>26</v>
      </c>
      <c r="L19" s="28">
        <f t="shared" si="81"/>
        <v>27</v>
      </c>
      <c r="M19" s="44">
        <f t="shared" si="81"/>
        <v>28</v>
      </c>
      <c r="N19" s="44">
        <f t="shared" si="81"/>
        <v>29</v>
      </c>
      <c r="O19" s="28">
        <f t="shared" si="81"/>
        <v>30</v>
      </c>
      <c r="P19" s="28">
        <f t="shared" si="81"/>
        <v>31</v>
      </c>
      <c r="Q19" s="23"/>
      <c r="S19" s="26">
        <f t="shared" ref="S19:Y19" si="82">S18+7</f>
        <v>23</v>
      </c>
      <c r="T19" s="24">
        <f t="shared" si="82"/>
        <v>24</v>
      </c>
      <c r="U19" s="28">
        <f t="shared" si="82"/>
        <v>25</v>
      </c>
      <c r="V19" s="38">
        <f t="shared" si="82"/>
        <v>26</v>
      </c>
      <c r="W19" s="28">
        <f t="shared" si="82"/>
        <v>27</v>
      </c>
      <c r="X19" s="28">
        <f t="shared" si="82"/>
        <v>28</v>
      </c>
      <c r="Y19" s="26">
        <f t="shared" si="82"/>
        <v>29</v>
      </c>
      <c r="Z19" s="18"/>
      <c r="AA19" s="8"/>
      <c r="AC19" s="28">
        <f t="shared" ref="AC19:AG19" si="83">AC18+7</f>
        <v>27</v>
      </c>
      <c r="AD19" s="24">
        <f t="shared" si="83"/>
        <v>28</v>
      </c>
      <c r="AE19" s="28">
        <f t="shared" si="83"/>
        <v>29</v>
      </c>
      <c r="AF19" s="28">
        <f t="shared" si="83"/>
        <v>30</v>
      </c>
      <c r="AG19" s="28">
        <f t="shared" si="83"/>
        <v>31</v>
      </c>
      <c r="AH19" s="23"/>
      <c r="AI19" s="23"/>
      <c r="AK19" s="28">
        <f t="shared" ref="AK19:AQ19" si="84">AK18+7</f>
        <v>24</v>
      </c>
      <c r="AL19" s="28">
        <f t="shared" si="84"/>
        <v>25</v>
      </c>
      <c r="AM19" s="28">
        <f t="shared" si="84"/>
        <v>26</v>
      </c>
      <c r="AN19" s="43">
        <f t="shared" si="84"/>
        <v>27</v>
      </c>
      <c r="AO19" s="43">
        <f t="shared" si="84"/>
        <v>28</v>
      </c>
      <c r="AP19" s="43">
        <f t="shared" si="84"/>
        <v>29</v>
      </c>
      <c r="AQ19" s="26">
        <f t="shared" si="84"/>
        <v>30</v>
      </c>
      <c r="AS19" s="26">
        <f t="shared" ref="AS19:AU19" si="85">AS18+7</f>
        <v>29</v>
      </c>
      <c r="AT19" s="26">
        <f t="shared" si="85"/>
        <v>30</v>
      </c>
      <c r="AU19" s="26">
        <f t="shared" si="85"/>
        <v>31</v>
      </c>
      <c r="AV19" s="23"/>
      <c r="AW19" s="23"/>
      <c r="AX19" s="23"/>
      <c r="AY19" s="23"/>
      <c r="AZ19" s="8"/>
      <c r="BB19" s="28">
        <f t="shared" ref="BB19:BE19" si="86">BB18+7</f>
        <v>27</v>
      </c>
      <c r="BC19" s="28">
        <f t="shared" si="86"/>
        <v>28</v>
      </c>
      <c r="BD19" s="28">
        <f t="shared" si="86"/>
        <v>29</v>
      </c>
      <c r="BE19" s="28">
        <f t="shared" si="86"/>
        <v>30</v>
      </c>
      <c r="BF19" s="23"/>
      <c r="BG19" s="23"/>
      <c r="BH19" s="23"/>
      <c r="BJ19" s="28">
        <f t="shared" ref="BJ19:BP19" si="87">BJ18+7</f>
        <v>25</v>
      </c>
      <c r="BK19" s="28">
        <f t="shared" si="87"/>
        <v>26</v>
      </c>
      <c r="BL19" s="28">
        <f t="shared" si="87"/>
        <v>27</v>
      </c>
      <c r="BM19" s="28">
        <f t="shared" si="87"/>
        <v>28</v>
      </c>
      <c r="BN19" s="28">
        <f t="shared" si="87"/>
        <v>29</v>
      </c>
      <c r="BO19" s="28">
        <f t="shared" si="87"/>
        <v>30</v>
      </c>
      <c r="BP19" s="28">
        <f t="shared" si="87"/>
        <v>31</v>
      </c>
      <c r="BR19" s="28">
        <f t="shared" ref="BR19:BS19" si="88">BR18+7</f>
        <v>29</v>
      </c>
      <c r="BS19" s="28">
        <f t="shared" si="88"/>
        <v>30</v>
      </c>
      <c r="BT19" s="23"/>
      <c r="BU19" s="23"/>
      <c r="BV19" s="23"/>
      <c r="BW19" s="23"/>
      <c r="BX19" s="23"/>
      <c r="BY19" s="22"/>
      <c r="BZ19" s="10"/>
    </row>
    <row r="20" ht="9.75" customHeight="1">
      <c r="A20" s="13"/>
      <c r="C20" s="18"/>
      <c r="D20" s="18"/>
      <c r="E20" s="18"/>
      <c r="F20" s="18"/>
      <c r="G20" s="18"/>
      <c r="H20" s="18"/>
      <c r="I20" s="23"/>
      <c r="K20" s="18"/>
      <c r="L20" s="18"/>
      <c r="M20" s="18"/>
      <c r="N20" s="18"/>
      <c r="O20" s="18"/>
      <c r="P20" s="18"/>
      <c r="Q20" s="23"/>
      <c r="S20" s="28">
        <f>S19+7</f>
        <v>30</v>
      </c>
      <c r="T20" s="23"/>
      <c r="U20" s="18"/>
      <c r="V20" s="18"/>
      <c r="W20" s="18"/>
      <c r="X20" s="18"/>
      <c r="Y20" s="23"/>
      <c r="Z20" s="18"/>
      <c r="AA20" s="8"/>
      <c r="AC20" s="23"/>
      <c r="AD20" s="23"/>
      <c r="AE20" s="23"/>
      <c r="AF20" s="23"/>
      <c r="AG20" s="23"/>
      <c r="AH20" s="23"/>
      <c r="AI20" s="23"/>
      <c r="AK20" s="23"/>
      <c r="AL20" s="18"/>
      <c r="AM20" s="18"/>
      <c r="AN20" s="18"/>
      <c r="AO20" s="18"/>
      <c r="AP20" s="18"/>
      <c r="AQ20" s="18"/>
      <c r="AS20" s="70"/>
      <c r="AT20" s="70"/>
      <c r="AU20" s="70"/>
      <c r="AV20" s="70"/>
      <c r="AW20" s="70"/>
      <c r="AX20" s="18"/>
      <c r="AY20" s="18"/>
      <c r="AZ20" s="8"/>
      <c r="BB20" s="18"/>
      <c r="BC20" s="18"/>
      <c r="BD20" s="18"/>
      <c r="BE20" s="18"/>
      <c r="BF20" s="18"/>
      <c r="BG20" s="18"/>
      <c r="BH20" s="23"/>
      <c r="BJ20" s="18"/>
      <c r="BK20" s="18"/>
      <c r="BL20" s="18"/>
      <c r="BM20" s="18"/>
      <c r="BN20" s="18"/>
      <c r="BO20" s="18"/>
      <c r="BP20" s="23"/>
      <c r="BR20" s="23"/>
      <c r="BS20" s="23"/>
      <c r="BT20" s="18"/>
      <c r="BU20" s="18"/>
      <c r="BV20" s="18"/>
      <c r="BW20" s="18"/>
      <c r="BX20" s="23"/>
      <c r="BY20" s="22"/>
      <c r="BZ20" s="10"/>
    </row>
    <row r="21" ht="12.75" customHeight="1">
      <c r="A21" s="13"/>
      <c r="C21" s="55">
        <v>1.0</v>
      </c>
      <c r="D21" s="56">
        <v>2.0</v>
      </c>
      <c r="E21" s="56">
        <v>2.0</v>
      </c>
      <c r="F21" s="56">
        <v>1.0</v>
      </c>
      <c r="G21" s="56">
        <v>1.0</v>
      </c>
      <c r="H21" s="56">
        <v>1.0</v>
      </c>
      <c r="I21" s="58">
        <f>SUM(C21:H21)</f>
        <v>8</v>
      </c>
      <c r="K21" s="55">
        <v>4.0</v>
      </c>
      <c r="L21" s="56">
        <v>4.0</v>
      </c>
      <c r="M21" s="56">
        <v>4.0</v>
      </c>
      <c r="N21" s="56">
        <v>4.0</v>
      </c>
      <c r="O21" s="56">
        <v>5.0</v>
      </c>
      <c r="P21" s="56">
        <v>4.0</v>
      </c>
      <c r="Q21" s="58">
        <f>SUM(K21:P21)</f>
        <v>25</v>
      </c>
      <c r="S21" s="55">
        <v>4.0</v>
      </c>
      <c r="T21" s="56">
        <v>3.0</v>
      </c>
      <c r="U21" s="56">
        <v>3.0</v>
      </c>
      <c r="V21" s="56">
        <v>3.0</v>
      </c>
      <c r="W21" s="56">
        <v>3.0</v>
      </c>
      <c r="X21" s="56">
        <v>3.0</v>
      </c>
      <c r="Y21" s="58">
        <f>SUM(S21:X21)</f>
        <v>19</v>
      </c>
      <c r="Z21" s="18"/>
      <c r="AA21" s="8"/>
      <c r="AC21" s="55">
        <v>4.0</v>
      </c>
      <c r="AD21" s="56">
        <v>3.0</v>
      </c>
      <c r="AE21" s="56">
        <v>5.0</v>
      </c>
      <c r="AF21" s="56">
        <v>5.0</v>
      </c>
      <c r="AG21" s="56">
        <v>5.0</v>
      </c>
      <c r="AH21" s="56">
        <v>4.0</v>
      </c>
      <c r="AI21" s="58">
        <f>SUM(AC21:AH21)</f>
        <v>26</v>
      </c>
      <c r="AK21" s="55">
        <v>4.0</v>
      </c>
      <c r="AL21" s="56">
        <v>4.0</v>
      </c>
      <c r="AM21" s="56">
        <v>4.0</v>
      </c>
      <c r="AN21" s="56">
        <v>3.0</v>
      </c>
      <c r="AO21" s="56">
        <v>3.0</v>
      </c>
      <c r="AP21" s="56">
        <v>3.0</v>
      </c>
      <c r="AQ21" s="58">
        <f>SUM(AK21:AP21)</f>
        <v>21</v>
      </c>
      <c r="AS21" s="55">
        <v>3.0</v>
      </c>
      <c r="AT21" s="56">
        <v>3.0</v>
      </c>
      <c r="AU21" s="56">
        <v>3.0</v>
      </c>
      <c r="AV21" s="56">
        <v>3.0</v>
      </c>
      <c r="AW21" s="56">
        <v>3.0</v>
      </c>
      <c r="AX21" s="56">
        <v>3.0</v>
      </c>
      <c r="AY21" s="58">
        <f>SUM(AS21:AX21)</f>
        <v>18</v>
      </c>
      <c r="AZ21" s="8"/>
      <c r="BB21" s="71"/>
      <c r="BC21" s="72"/>
      <c r="BD21" s="72"/>
      <c r="BE21" s="72"/>
      <c r="BF21" s="72"/>
      <c r="BG21" s="72"/>
      <c r="BH21" s="58">
        <f>SUM(BB21:BG21)</f>
        <v>0</v>
      </c>
      <c r="BJ21" s="71"/>
      <c r="BK21" s="72"/>
      <c r="BL21" s="72"/>
      <c r="BM21" s="72"/>
      <c r="BN21" s="72"/>
      <c r="BO21" s="72"/>
      <c r="BP21" s="58">
        <f>SUM(BJ21:BO21)</f>
        <v>0</v>
      </c>
      <c r="BR21" s="71"/>
      <c r="BS21" s="72"/>
      <c r="BT21" s="72"/>
      <c r="BU21" s="72"/>
      <c r="BV21" s="72"/>
      <c r="BW21" s="72"/>
      <c r="BX21" s="58">
        <f>SUM(BR21:BW21)</f>
        <v>0</v>
      </c>
      <c r="BY21" s="22"/>
      <c r="BZ21" s="10"/>
    </row>
    <row r="22" ht="6.0" customHeight="1">
      <c r="A22" s="1"/>
      <c r="B22" s="73"/>
      <c r="C22" s="74"/>
      <c r="D22" s="74"/>
      <c r="E22" s="74"/>
      <c r="F22" s="74"/>
      <c r="G22" s="74"/>
      <c r="H22" s="73"/>
      <c r="I22" s="73"/>
      <c r="J22" s="73"/>
      <c r="K22" s="74"/>
      <c r="L22" s="74"/>
      <c r="M22" s="74"/>
      <c r="N22" s="74"/>
      <c r="O22" s="74"/>
      <c r="P22" s="73"/>
      <c r="Q22" s="73"/>
      <c r="R22" s="73"/>
      <c r="S22" s="74"/>
      <c r="T22" s="74"/>
      <c r="U22" s="74"/>
      <c r="V22" s="74"/>
      <c r="W22" s="74"/>
      <c r="X22" s="73"/>
      <c r="Y22" s="73"/>
      <c r="Z22" s="73"/>
      <c r="AA22" s="2"/>
      <c r="AB22" s="73"/>
      <c r="AC22" s="74"/>
      <c r="AD22" s="74"/>
      <c r="AE22" s="74"/>
      <c r="AF22" s="74"/>
      <c r="AG22" s="74"/>
      <c r="AH22" s="73"/>
      <c r="AI22" s="73"/>
      <c r="AJ22" s="73"/>
      <c r="AK22" s="74"/>
      <c r="AL22" s="74"/>
      <c r="AM22" s="74"/>
      <c r="AN22" s="74"/>
      <c r="AO22" s="74"/>
      <c r="AP22" s="73"/>
      <c r="AQ22" s="73"/>
      <c r="AR22" s="73"/>
      <c r="AS22" s="74"/>
      <c r="AT22" s="74"/>
      <c r="AU22" s="74"/>
      <c r="AV22" s="74"/>
      <c r="AW22" s="74"/>
      <c r="AX22" s="73"/>
      <c r="AY22" s="73"/>
      <c r="AZ22" s="2"/>
      <c r="BA22" s="73"/>
      <c r="BB22" s="74"/>
      <c r="BC22" s="74"/>
      <c r="BD22" s="74"/>
      <c r="BE22" s="74"/>
      <c r="BF22" s="74"/>
      <c r="BG22" s="73"/>
      <c r="BH22" s="73"/>
      <c r="BI22" s="73"/>
      <c r="BJ22" s="74"/>
      <c r="BK22" s="74"/>
      <c r="BL22" s="74"/>
      <c r="BM22" s="74"/>
      <c r="BN22" s="74"/>
      <c r="BO22" s="73"/>
      <c r="BP22" s="73"/>
      <c r="BQ22" s="73"/>
      <c r="BR22" s="74"/>
      <c r="BS22" s="74"/>
      <c r="BT22" s="74"/>
      <c r="BU22" s="74"/>
      <c r="BV22" s="74"/>
      <c r="BW22" s="73"/>
      <c r="BX22" s="73"/>
      <c r="BY22" s="73"/>
      <c r="BZ22" s="3"/>
    </row>
    <row r="23" ht="14.25" customHeight="1">
      <c r="A23" s="1"/>
      <c r="B23" s="75" t="s">
        <v>21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7"/>
      <c r="O23" s="78" t="s">
        <v>22</v>
      </c>
      <c r="P23" s="76"/>
      <c r="Q23" s="76"/>
      <c r="R23" s="76"/>
      <c r="S23" s="76"/>
      <c r="T23" s="76"/>
      <c r="U23" s="76"/>
      <c r="V23" s="76"/>
      <c r="W23" s="76"/>
      <c r="X23" s="79">
        <f>SUM(I12,Q12,Y12,I21,Q21,Y21,AI12,AQ12)</f>
        <v>100</v>
      </c>
      <c r="Y23" s="77"/>
      <c r="Z23" s="74"/>
      <c r="AA23" s="80"/>
      <c r="AB23" s="75" t="s">
        <v>23</v>
      </c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7"/>
      <c r="AO23" s="78" t="s">
        <v>24</v>
      </c>
      <c r="AP23" s="76"/>
      <c r="AQ23" s="76"/>
      <c r="AR23" s="76"/>
      <c r="AS23" s="76"/>
      <c r="AT23" s="76"/>
      <c r="AU23" s="76"/>
      <c r="AV23" s="76"/>
      <c r="AW23" s="76"/>
      <c r="AX23" s="79">
        <f>SUM(AY12,AI21,AQ21,AY21,BH12,BP12,BX12)</f>
        <v>100</v>
      </c>
      <c r="AY23" s="77"/>
      <c r="AZ23" s="74"/>
      <c r="BA23" s="73"/>
      <c r="BB23" s="75" t="s">
        <v>23</v>
      </c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81"/>
      <c r="BN23" s="82" t="s">
        <v>25</v>
      </c>
      <c r="BO23" s="76"/>
      <c r="BP23" s="76"/>
      <c r="BQ23" s="76"/>
      <c r="BR23" s="76"/>
      <c r="BS23" s="76"/>
      <c r="BT23" s="76"/>
      <c r="BU23" s="76"/>
      <c r="BV23" s="76"/>
      <c r="BW23" s="79">
        <f>X25+AX25</f>
        <v>31</v>
      </c>
      <c r="BX23" s="77"/>
      <c r="BY23" s="83"/>
      <c r="BZ23" s="84"/>
    </row>
    <row r="24" ht="12.0" customHeight="1">
      <c r="A24" s="1"/>
      <c r="B24" s="85" t="s">
        <v>26</v>
      </c>
      <c r="C24" s="86"/>
      <c r="D24" s="86"/>
      <c r="E24" s="86"/>
      <c r="F24" s="86"/>
      <c r="G24" s="86"/>
      <c r="H24" s="87"/>
      <c r="I24" s="88" t="s">
        <v>27</v>
      </c>
      <c r="J24" s="86"/>
      <c r="K24" s="86"/>
      <c r="L24" s="86"/>
      <c r="M24" s="86"/>
      <c r="N24" s="89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2"/>
      <c r="Z24" s="74"/>
      <c r="AA24" s="80"/>
      <c r="AB24" s="85" t="s">
        <v>26</v>
      </c>
      <c r="AC24" s="86"/>
      <c r="AD24" s="86"/>
      <c r="AE24" s="86"/>
      <c r="AF24" s="86"/>
      <c r="AG24" s="86"/>
      <c r="AH24" s="87"/>
      <c r="AI24" s="88" t="s">
        <v>27</v>
      </c>
      <c r="AJ24" s="86"/>
      <c r="AK24" s="86"/>
      <c r="AL24" s="86"/>
      <c r="AM24" s="86"/>
      <c r="AN24" s="89"/>
      <c r="AO24" s="90"/>
      <c r="AP24" s="91"/>
      <c r="AQ24" s="91"/>
      <c r="AR24" s="91"/>
      <c r="AS24" s="91"/>
      <c r="AT24" s="91"/>
      <c r="AU24" s="91"/>
      <c r="AV24" s="91"/>
      <c r="AW24" s="91"/>
      <c r="AX24" s="91"/>
      <c r="AY24" s="92"/>
      <c r="AZ24" s="74"/>
      <c r="BA24" s="73"/>
      <c r="BB24" s="85" t="s">
        <v>26</v>
      </c>
      <c r="BC24" s="86"/>
      <c r="BD24" s="86"/>
      <c r="BE24" s="86"/>
      <c r="BF24" s="86"/>
      <c r="BG24" s="87"/>
      <c r="BH24" s="88" t="s">
        <v>28</v>
      </c>
      <c r="BI24" s="86"/>
      <c r="BJ24" s="86"/>
      <c r="BK24" s="86"/>
      <c r="BL24" s="86"/>
      <c r="BM24" s="87"/>
      <c r="BN24" s="94"/>
      <c r="BO24" s="91"/>
      <c r="BP24" s="91"/>
      <c r="BQ24" s="91"/>
      <c r="BR24" s="91"/>
      <c r="BS24" s="91"/>
      <c r="BT24" s="91"/>
      <c r="BU24" s="91"/>
      <c r="BV24" s="91"/>
      <c r="BW24" s="91"/>
      <c r="BX24" s="92"/>
      <c r="BY24" s="83"/>
      <c r="BZ24" s="84"/>
    </row>
    <row r="25" ht="11.25" customHeight="1">
      <c r="A25" s="95"/>
      <c r="B25" s="96" t="s">
        <v>29</v>
      </c>
      <c r="I25" s="98">
        <f>(C21+AC12+AK12+K21+S21)</f>
        <v>17</v>
      </c>
      <c r="J25" s="98" t="s">
        <v>30</v>
      </c>
      <c r="K25" s="73"/>
      <c r="L25" s="98">
        <f>SUM(D21,L21,T21,AD12,AL12)</f>
        <v>18</v>
      </c>
      <c r="M25" s="98" t="s">
        <v>31</v>
      </c>
      <c r="N25" s="73"/>
      <c r="O25" s="98">
        <f>SUM(E21,M21,U21,AE12,AM12)</f>
        <v>16</v>
      </c>
      <c r="P25" s="98" t="s">
        <v>32</v>
      </c>
      <c r="Q25" s="73"/>
      <c r="R25" s="98">
        <f>SUM(F12,N12,V12,AF12,AN12,F21,N21,V21)</f>
        <v>17</v>
      </c>
      <c r="S25" s="98" t="s">
        <v>33</v>
      </c>
      <c r="T25" s="73"/>
      <c r="U25" s="98">
        <f>SUM(G12,O12,W12,AG12,AO12,G21,O21,W21)</f>
        <v>17</v>
      </c>
      <c r="V25" s="98" t="s">
        <v>34</v>
      </c>
      <c r="W25" s="73"/>
      <c r="X25" s="98">
        <f>SUM(H12,P12,X12,AH12,AP12,H21,P21,X21)</f>
        <v>15</v>
      </c>
      <c r="Y25" s="98" t="s">
        <v>35</v>
      </c>
      <c r="Z25" s="74"/>
      <c r="AA25" s="80"/>
      <c r="AB25" s="96" t="s">
        <v>36</v>
      </c>
      <c r="AI25" s="98">
        <f>(BC12+BK12+BS12+AC21+AK21+AS21+BC21+BK21+BS21+AS12)</f>
        <v>16</v>
      </c>
      <c r="AJ25" s="98" t="s">
        <v>30</v>
      </c>
      <c r="AK25" s="73"/>
      <c r="AL25" s="98">
        <f>(BD12+BL12+BT12+AD21+AL21+AT21+BD21+BL21+BT21+AT12)</f>
        <v>16</v>
      </c>
      <c r="AM25" s="98" t="s">
        <v>31</v>
      </c>
      <c r="AN25" s="73"/>
      <c r="AO25" s="98">
        <f>(BE12+BM12+BU12+AE21+AM21+AU21+BE21+BM21+BU21+AU12)</f>
        <v>18</v>
      </c>
      <c r="AP25" s="98" t="s">
        <v>32</v>
      </c>
      <c r="AQ25" s="73"/>
      <c r="AR25" s="98">
        <f>SUM(BF12,BN12,BV12,AF21,AN21,AV21,BF21,BN21,BV21+AV12)</f>
        <v>17</v>
      </c>
      <c r="AS25" s="98" t="s">
        <v>33</v>
      </c>
      <c r="AT25" s="73"/>
      <c r="AU25" s="98">
        <f>SUM(BG12,BO12,BW12,AG21,AO21,AW21,BG21,BO21,BW21+AW12)</f>
        <v>17</v>
      </c>
      <c r="AV25" s="98" t="s">
        <v>34</v>
      </c>
      <c r="AW25" s="73"/>
      <c r="AX25" s="98">
        <f>SUM(AX12,AH21,AP21,AX21,BG12,BO12)</f>
        <v>16</v>
      </c>
      <c r="AY25" s="98" t="s">
        <v>35</v>
      </c>
      <c r="AZ25" s="74"/>
      <c r="BA25" s="100"/>
      <c r="BB25" s="101" t="s">
        <v>38</v>
      </c>
      <c r="BC25" s="102"/>
      <c r="BD25" s="102"/>
      <c r="BE25" s="102"/>
      <c r="BF25" s="102"/>
      <c r="BG25" s="102"/>
      <c r="BH25" s="102"/>
      <c r="BI25" s="102"/>
      <c r="BJ25" s="102"/>
      <c r="BK25" s="102"/>
      <c r="BL25" s="104">
        <f>SUM(AH12,AP12,AX12,BH12,BP12,BX12,AH21,AP21,AX21,BH21,BP21,BX21)</f>
        <v>47</v>
      </c>
      <c r="BM25" s="102"/>
      <c r="BN25" s="105" t="s">
        <v>40</v>
      </c>
      <c r="BO25" s="102"/>
      <c r="BP25" s="102"/>
      <c r="BQ25" s="102"/>
      <c r="BR25" s="102"/>
      <c r="BS25" s="102"/>
      <c r="BT25" s="102"/>
      <c r="BU25" s="102"/>
      <c r="BV25" s="106" t="s">
        <v>41</v>
      </c>
      <c r="BW25" s="102"/>
      <c r="BX25" s="102"/>
      <c r="BY25" s="83"/>
      <c r="BZ25" s="84"/>
    </row>
    <row r="26" ht="1.5" customHeight="1">
      <c r="A26" s="95"/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2"/>
      <c r="BA26" s="84"/>
      <c r="BB26" s="84"/>
      <c r="BC26" s="84"/>
      <c r="BD26" s="84"/>
      <c r="BE26" s="84"/>
      <c r="BF26" s="84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ht="12.0" customHeight="1">
      <c r="A27" s="1"/>
      <c r="B27" s="111"/>
      <c r="C27" s="111"/>
      <c r="AZ27" s="2"/>
      <c r="BA27" s="74"/>
      <c r="BB27" s="74"/>
      <c r="BC27" s="74"/>
      <c r="BD27" s="74"/>
      <c r="BE27" s="74"/>
      <c r="BF27" s="74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</row>
    <row r="28" ht="18.0" customHeight="1">
      <c r="A28" s="95"/>
      <c r="B28" s="114" t="s">
        <v>44</v>
      </c>
      <c r="C28" s="102"/>
      <c r="D28" s="102"/>
      <c r="E28" s="102"/>
      <c r="F28" s="102"/>
      <c r="G28" s="115"/>
      <c r="H28" s="116"/>
      <c r="I28" s="117"/>
      <c r="J28" s="118" t="s">
        <v>45</v>
      </c>
      <c r="K28" s="102"/>
      <c r="L28" s="102"/>
      <c r="M28" s="102"/>
      <c r="N28" s="102"/>
      <c r="O28" s="115"/>
      <c r="P28" s="119"/>
      <c r="Q28" s="120"/>
      <c r="R28" s="114" t="s">
        <v>47</v>
      </c>
      <c r="S28" s="102"/>
      <c r="T28" s="102"/>
      <c r="U28" s="102"/>
      <c r="V28" s="115"/>
      <c r="W28" s="121"/>
      <c r="X28" s="120"/>
      <c r="Y28" s="114" t="s">
        <v>49</v>
      </c>
      <c r="Z28" s="102"/>
      <c r="AA28" s="102"/>
      <c r="AB28" s="102"/>
      <c r="AC28" s="102"/>
      <c r="AD28" s="102"/>
      <c r="AE28" s="102"/>
      <c r="AF28" s="115"/>
      <c r="AG28" s="123"/>
      <c r="AH28" s="117"/>
      <c r="AI28" s="114" t="s">
        <v>50</v>
      </c>
      <c r="AJ28" s="102"/>
      <c r="AK28" s="102"/>
      <c r="AL28" s="102"/>
      <c r="AM28" s="102"/>
      <c r="AN28" s="102"/>
      <c r="AO28" s="115"/>
      <c r="AP28" s="124"/>
      <c r="AQ28" s="117"/>
      <c r="AR28" s="114" t="s">
        <v>51</v>
      </c>
      <c r="AS28" s="102"/>
      <c r="AT28" s="102"/>
      <c r="AU28" s="102"/>
      <c r="AV28" s="102"/>
      <c r="AW28" s="102"/>
      <c r="AX28" s="115"/>
      <c r="AY28" s="126"/>
      <c r="AZ28" s="2"/>
      <c r="BA28" s="74"/>
      <c r="BB28" s="74"/>
      <c r="BC28" s="74"/>
      <c r="BD28" s="127"/>
      <c r="BE28" s="128">
        <v>12.0</v>
      </c>
      <c r="BF28" s="127"/>
      <c r="BG28" s="129" t="s">
        <v>53</v>
      </c>
      <c r="BH28" s="129"/>
      <c r="BI28" s="129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</row>
    <row r="29" ht="21.0" customHeight="1">
      <c r="A29" s="95"/>
      <c r="B29" s="114" t="s">
        <v>54</v>
      </c>
      <c r="C29" s="102"/>
      <c r="D29" s="102"/>
      <c r="E29" s="102"/>
      <c r="F29" s="102"/>
      <c r="G29" s="115"/>
      <c r="H29" s="131"/>
      <c r="I29" s="74"/>
      <c r="J29" s="118" t="s">
        <v>55</v>
      </c>
      <c r="K29" s="102"/>
      <c r="L29" s="102"/>
      <c r="M29" s="102"/>
      <c r="N29" s="102"/>
      <c r="O29" s="115"/>
      <c r="P29" s="132"/>
      <c r="Q29" s="74"/>
      <c r="R29" s="118" t="s">
        <v>56</v>
      </c>
      <c r="S29" s="102"/>
      <c r="T29" s="102"/>
      <c r="U29" s="102"/>
      <c r="V29" s="115"/>
      <c r="W29" s="133"/>
      <c r="X29" s="74"/>
      <c r="Y29" s="114" t="s">
        <v>57</v>
      </c>
      <c r="Z29" s="102"/>
      <c r="AA29" s="102"/>
      <c r="AB29" s="102"/>
      <c r="AC29" s="102"/>
      <c r="AD29" s="102"/>
      <c r="AE29" s="102"/>
      <c r="AF29" s="115"/>
      <c r="AG29" s="134"/>
      <c r="AH29" s="74"/>
      <c r="AI29" s="114" t="s">
        <v>58</v>
      </c>
      <c r="AJ29" s="102"/>
      <c r="AK29" s="102"/>
      <c r="AL29" s="102"/>
      <c r="AM29" s="102"/>
      <c r="AN29" s="102"/>
      <c r="AO29" s="115"/>
      <c r="AP29" s="135"/>
      <c r="AQ29" s="136"/>
      <c r="AR29" s="137"/>
      <c r="AS29" s="137"/>
      <c r="AT29" s="137"/>
      <c r="AU29" s="137"/>
      <c r="AV29" s="137"/>
      <c r="AW29" s="137"/>
      <c r="AX29" s="137"/>
      <c r="AY29" s="138"/>
      <c r="AZ29" s="2"/>
      <c r="BA29" s="74"/>
      <c r="BB29" s="74"/>
      <c r="BC29" s="74"/>
      <c r="BD29" s="127"/>
      <c r="BE29" s="128">
        <v>17.0</v>
      </c>
      <c r="BF29" s="127"/>
      <c r="BG29" s="129" t="s">
        <v>59</v>
      </c>
      <c r="BH29" s="129"/>
      <c r="BI29" s="129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</row>
    <row r="30" ht="16.5" customHeight="1">
      <c r="A30" s="95"/>
      <c r="B30" s="139" t="s">
        <v>60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15"/>
      <c r="AZ30" s="141"/>
      <c r="BA30" s="74"/>
      <c r="BB30" s="74"/>
      <c r="BC30" s="74"/>
      <c r="BD30" s="127"/>
      <c r="BE30" s="128">
        <v>16.0</v>
      </c>
      <c r="BF30" s="127"/>
      <c r="BG30" s="129" t="s">
        <v>62</v>
      </c>
      <c r="BH30" s="129"/>
      <c r="BI30" s="129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</row>
    <row r="31" ht="13.5" customHeight="1">
      <c r="A31" s="95"/>
      <c r="B31" s="142" t="s">
        <v>63</v>
      </c>
      <c r="C31" s="102"/>
      <c r="D31" s="102"/>
      <c r="E31" s="102"/>
      <c r="F31" s="102"/>
      <c r="G31" s="102"/>
      <c r="H31" s="102"/>
      <c r="I31" s="115"/>
      <c r="J31" s="143"/>
      <c r="K31" s="142" t="s">
        <v>64</v>
      </c>
      <c r="L31" s="102"/>
      <c r="M31" s="102"/>
      <c r="N31" s="102"/>
      <c r="O31" s="102"/>
      <c r="P31" s="102"/>
      <c r="Q31" s="102"/>
      <c r="R31" s="115"/>
      <c r="S31" s="83"/>
      <c r="T31" s="142" t="s">
        <v>65</v>
      </c>
      <c r="U31" s="102"/>
      <c r="V31" s="102"/>
      <c r="W31" s="102"/>
      <c r="X31" s="102"/>
      <c r="Y31" s="102"/>
      <c r="Z31" s="102"/>
      <c r="AA31" s="115"/>
      <c r="AB31" s="143"/>
      <c r="AC31" s="142" t="s">
        <v>66</v>
      </c>
      <c r="AD31" s="102"/>
      <c r="AE31" s="102"/>
      <c r="AF31" s="102"/>
      <c r="AG31" s="102"/>
      <c r="AH31" s="102"/>
      <c r="AI31" s="102"/>
      <c r="AJ31" s="115"/>
      <c r="AK31" s="143"/>
      <c r="AL31" s="142" t="s">
        <v>67</v>
      </c>
      <c r="AM31" s="102"/>
      <c r="AN31" s="102"/>
      <c r="AO31" s="102"/>
      <c r="AP31" s="102"/>
      <c r="AQ31" s="102"/>
      <c r="AR31" s="102"/>
      <c r="AS31" s="115"/>
      <c r="AT31" s="143"/>
      <c r="AU31" s="145" t="s">
        <v>68</v>
      </c>
      <c r="AV31" s="102"/>
      <c r="AW31" s="102"/>
      <c r="AX31" s="102"/>
      <c r="AY31" s="115"/>
      <c r="AZ31" s="2"/>
      <c r="BA31" s="74"/>
      <c r="BB31" s="74"/>
      <c r="BC31" s="74"/>
      <c r="BD31" s="74"/>
      <c r="BE31" s="74"/>
      <c r="BF31" s="74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</row>
    <row r="32" ht="13.5" customHeight="1">
      <c r="A32" s="1"/>
      <c r="B32" s="142" t="s">
        <v>70</v>
      </c>
      <c r="C32" s="102"/>
      <c r="D32" s="102"/>
      <c r="E32" s="102"/>
      <c r="F32" s="102"/>
      <c r="G32" s="102"/>
      <c r="H32" s="102"/>
      <c r="I32" s="115"/>
      <c r="J32" s="143"/>
      <c r="K32" s="142" t="s">
        <v>72</v>
      </c>
      <c r="L32" s="102"/>
      <c r="M32" s="102"/>
      <c r="N32" s="102"/>
      <c r="O32" s="102"/>
      <c r="P32" s="102"/>
      <c r="Q32" s="102"/>
      <c r="R32" s="115"/>
      <c r="S32" s="83"/>
      <c r="T32" s="142" t="s">
        <v>73</v>
      </c>
      <c r="U32" s="102"/>
      <c r="V32" s="102"/>
      <c r="W32" s="102"/>
      <c r="X32" s="102"/>
      <c r="Y32" s="102"/>
      <c r="Z32" s="102"/>
      <c r="AA32" s="115"/>
      <c r="AB32" s="143"/>
      <c r="AC32" s="142" t="s">
        <v>74</v>
      </c>
      <c r="AD32" s="102"/>
      <c r="AE32" s="102"/>
      <c r="AF32" s="102"/>
      <c r="AG32" s="102"/>
      <c r="AH32" s="102"/>
      <c r="AI32" s="102"/>
      <c r="AJ32" s="115"/>
      <c r="AK32" s="143"/>
      <c r="AL32" s="142" t="s">
        <v>75</v>
      </c>
      <c r="AM32" s="102"/>
      <c r="AN32" s="102"/>
      <c r="AO32" s="102"/>
      <c r="AP32" s="102"/>
      <c r="AQ32" s="102"/>
      <c r="AR32" s="102"/>
      <c r="AS32" s="115"/>
      <c r="AT32" s="143"/>
      <c r="AU32" s="142" t="s">
        <v>76</v>
      </c>
      <c r="AV32" s="102"/>
      <c r="AW32" s="102"/>
      <c r="AX32" s="102"/>
      <c r="AY32" s="115"/>
      <c r="AZ32" s="2"/>
      <c r="BA32" s="74"/>
      <c r="BB32" s="74"/>
      <c r="BC32" s="74"/>
      <c r="BD32" s="74"/>
      <c r="BE32" s="74"/>
      <c r="BF32" s="74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</row>
    <row r="33" ht="15.0" customHeight="1">
      <c r="A33" s="1"/>
      <c r="B33" s="142" t="s">
        <v>77</v>
      </c>
      <c r="C33" s="102"/>
      <c r="D33" s="102"/>
      <c r="E33" s="102"/>
      <c r="F33" s="102"/>
      <c r="G33" s="102"/>
      <c r="H33" s="102"/>
      <c r="I33" s="115"/>
      <c r="J33" s="143"/>
      <c r="K33" s="142" t="s">
        <v>78</v>
      </c>
      <c r="L33" s="102"/>
      <c r="M33" s="102"/>
      <c r="N33" s="102"/>
      <c r="O33" s="102"/>
      <c r="P33" s="102"/>
      <c r="Q33" s="102"/>
      <c r="R33" s="115"/>
      <c r="S33" s="83"/>
      <c r="T33" s="142" t="s">
        <v>79</v>
      </c>
      <c r="U33" s="102"/>
      <c r="V33" s="102"/>
      <c r="W33" s="102"/>
      <c r="X33" s="102"/>
      <c r="Y33" s="102"/>
      <c r="Z33" s="102"/>
      <c r="AA33" s="115"/>
      <c r="AB33" s="143"/>
      <c r="AC33" s="142" t="s">
        <v>80</v>
      </c>
      <c r="AD33" s="102"/>
      <c r="AE33" s="102"/>
      <c r="AF33" s="102"/>
      <c r="AG33" s="102"/>
      <c r="AH33" s="102"/>
      <c r="AI33" s="102"/>
      <c r="AJ33" s="115"/>
      <c r="AK33" s="143"/>
      <c r="AL33" s="142" t="s">
        <v>81</v>
      </c>
      <c r="AM33" s="102"/>
      <c r="AN33" s="102"/>
      <c r="AO33" s="102"/>
      <c r="AP33" s="102"/>
      <c r="AQ33" s="102"/>
      <c r="AR33" s="102"/>
      <c r="AS33" s="115"/>
      <c r="AT33" s="143"/>
      <c r="AU33" s="142" t="s">
        <v>82</v>
      </c>
      <c r="AV33" s="102"/>
      <c r="AW33" s="102"/>
      <c r="AX33" s="102"/>
      <c r="AY33" s="115"/>
      <c r="AZ33" s="2"/>
      <c r="BA33" s="74"/>
      <c r="BB33" s="74"/>
      <c r="BC33" s="74"/>
      <c r="BD33" s="74"/>
      <c r="BE33" s="74"/>
      <c r="BF33" s="74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</row>
    <row r="34" ht="12.75" customHeight="1">
      <c r="A34" s="1"/>
      <c r="B34" s="142" t="s">
        <v>83</v>
      </c>
      <c r="C34" s="102"/>
      <c r="D34" s="102"/>
      <c r="E34" s="102"/>
      <c r="F34" s="102"/>
      <c r="G34" s="102"/>
      <c r="H34" s="102"/>
      <c r="I34" s="115"/>
      <c r="J34" s="73"/>
      <c r="K34" s="142" t="s">
        <v>84</v>
      </c>
      <c r="L34" s="102"/>
      <c r="M34" s="102"/>
      <c r="N34" s="102"/>
      <c r="O34" s="102"/>
      <c r="P34" s="102"/>
      <c r="Q34" s="102"/>
      <c r="R34" s="115"/>
      <c r="S34" s="73"/>
      <c r="T34" s="142" t="s">
        <v>85</v>
      </c>
      <c r="U34" s="102"/>
      <c r="V34" s="102"/>
      <c r="W34" s="102"/>
      <c r="X34" s="102"/>
      <c r="Y34" s="102"/>
      <c r="Z34" s="102"/>
      <c r="AA34" s="115"/>
      <c r="AB34" s="73"/>
      <c r="AC34" s="142" t="s">
        <v>86</v>
      </c>
      <c r="AD34" s="102"/>
      <c r="AE34" s="102"/>
      <c r="AF34" s="102"/>
      <c r="AG34" s="102"/>
      <c r="AH34" s="102"/>
      <c r="AI34" s="102"/>
      <c r="AJ34" s="115"/>
      <c r="AK34" s="73"/>
      <c r="AL34" s="142" t="s">
        <v>87</v>
      </c>
      <c r="AM34" s="102"/>
      <c r="AN34" s="102"/>
      <c r="AO34" s="102"/>
      <c r="AP34" s="102"/>
      <c r="AQ34" s="102"/>
      <c r="AR34" s="102"/>
      <c r="AS34" s="115"/>
      <c r="AT34" s="73"/>
      <c r="AU34" s="73"/>
      <c r="AV34" s="73"/>
      <c r="AW34" s="73"/>
      <c r="AX34" s="73"/>
      <c r="AY34" s="73"/>
      <c r="AZ34" s="2"/>
      <c r="BA34" s="74"/>
      <c r="BB34" s="74"/>
      <c r="BC34" s="74"/>
      <c r="BD34" s="74"/>
      <c r="BE34" s="74"/>
      <c r="BF34" s="74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</row>
    <row r="35" ht="10.5" customHeight="1">
      <c r="A35" s="95"/>
      <c r="B35" s="157" t="s">
        <v>88</v>
      </c>
      <c r="C35" s="102"/>
      <c r="D35" s="102"/>
      <c r="E35" s="102"/>
      <c r="F35" s="102"/>
      <c r="G35" s="102"/>
      <c r="H35" s="102"/>
      <c r="I35" s="115"/>
      <c r="J35" s="160" t="s">
        <v>89</v>
      </c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3"/>
      <c r="AZ35" s="164"/>
      <c r="BA35" s="166"/>
      <c r="BB35" s="166"/>
      <c r="BC35" s="166"/>
      <c r="BD35" s="166"/>
      <c r="BE35" s="166"/>
      <c r="BF35" s="166"/>
      <c r="BG35" s="166"/>
    </row>
    <row r="36" ht="9.0" customHeight="1">
      <c r="A36" s="95"/>
      <c r="B36" s="157" t="s">
        <v>90</v>
      </c>
      <c r="C36" s="102"/>
      <c r="D36" s="102"/>
      <c r="E36" s="115"/>
      <c r="F36" s="157" t="s">
        <v>91</v>
      </c>
      <c r="G36" s="102"/>
      <c r="H36" s="102"/>
      <c r="I36" s="115"/>
      <c r="J36" s="169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8"/>
      <c r="AZ36" s="164"/>
      <c r="BA36" s="166"/>
      <c r="BB36" s="166"/>
      <c r="BC36" s="166"/>
      <c r="BD36" s="166"/>
      <c r="BE36" s="166"/>
      <c r="BF36" s="166"/>
      <c r="BG36" s="166"/>
    </row>
    <row r="37" ht="11.25" customHeight="1">
      <c r="A37" s="95"/>
      <c r="B37" s="171"/>
      <c r="C37" s="102"/>
      <c r="D37" s="102"/>
      <c r="E37" s="115"/>
      <c r="F37" s="174"/>
      <c r="G37" s="102"/>
      <c r="H37" s="102"/>
      <c r="I37" s="115"/>
      <c r="J37" s="179" t="s">
        <v>93</v>
      </c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2"/>
      <c r="AZ37" s="164"/>
      <c r="BA37" s="166"/>
      <c r="BB37" s="166"/>
      <c r="BC37" s="166"/>
      <c r="BD37" s="166"/>
      <c r="BE37" s="166"/>
      <c r="BF37" s="166"/>
      <c r="BG37" s="166"/>
    </row>
    <row r="38" ht="11.25" customHeight="1">
      <c r="A38" s="95"/>
      <c r="B38" s="171"/>
      <c r="C38" s="102"/>
      <c r="D38" s="102"/>
      <c r="E38" s="115"/>
      <c r="F38" s="174"/>
      <c r="G38" s="102"/>
      <c r="H38" s="102"/>
      <c r="I38" s="115"/>
      <c r="J38" s="184" t="s">
        <v>95</v>
      </c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2"/>
      <c r="AZ38" s="164"/>
      <c r="BA38" s="166"/>
      <c r="BB38" s="166"/>
      <c r="BC38" s="166"/>
      <c r="BD38" s="166"/>
      <c r="BE38" s="166"/>
      <c r="BF38" s="166"/>
      <c r="BG38" s="166"/>
    </row>
    <row r="39" ht="11.25" customHeight="1">
      <c r="A39" s="95"/>
      <c r="B39" s="171"/>
      <c r="C39" s="102"/>
      <c r="D39" s="102"/>
      <c r="E39" s="115"/>
      <c r="F39" s="174"/>
      <c r="G39" s="102"/>
      <c r="H39" s="102"/>
      <c r="I39" s="115"/>
      <c r="J39" s="179" t="s">
        <v>96</v>
      </c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2"/>
      <c r="AZ39" s="164"/>
    </row>
    <row r="40" ht="11.25" customHeight="1">
      <c r="A40" s="95"/>
      <c r="B40" s="171"/>
      <c r="C40" s="102"/>
      <c r="D40" s="102"/>
      <c r="E40" s="115"/>
      <c r="F40" s="174"/>
      <c r="G40" s="102"/>
      <c r="H40" s="102"/>
      <c r="I40" s="115"/>
      <c r="J40" s="191" t="s">
        <v>97</v>
      </c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15"/>
      <c r="AZ40" s="164"/>
    </row>
    <row r="41" ht="11.25" customHeight="1">
      <c r="A41" s="95"/>
      <c r="B41" s="171"/>
      <c r="C41" s="102"/>
      <c r="D41" s="102"/>
      <c r="E41" s="115"/>
      <c r="F41" s="174"/>
      <c r="G41" s="102"/>
      <c r="H41" s="102"/>
      <c r="I41" s="115"/>
      <c r="J41" s="193" t="s">
        <v>98</v>
      </c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15"/>
      <c r="AZ41" s="164"/>
    </row>
    <row r="42" ht="11.25" customHeight="1">
      <c r="A42" s="95"/>
      <c r="B42" s="171"/>
      <c r="C42" s="102"/>
      <c r="D42" s="102"/>
      <c r="E42" s="115"/>
      <c r="F42" s="171"/>
      <c r="G42" s="102"/>
      <c r="H42" s="102"/>
      <c r="I42" s="115"/>
      <c r="J42" s="191" t="s">
        <v>100</v>
      </c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15"/>
      <c r="AZ42" s="164"/>
    </row>
    <row r="43" ht="11.25" customHeight="1">
      <c r="A43" s="95"/>
      <c r="B43" s="171"/>
      <c r="C43" s="102"/>
      <c r="D43" s="102"/>
      <c r="E43" s="115"/>
      <c r="F43" s="174"/>
      <c r="G43" s="102"/>
      <c r="H43" s="102"/>
      <c r="I43" s="115"/>
      <c r="J43" s="193" t="s">
        <v>102</v>
      </c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15"/>
      <c r="AZ43" s="164"/>
    </row>
    <row r="44" ht="17.25" customHeight="1">
      <c r="A44" s="95"/>
      <c r="B44" s="171"/>
      <c r="C44" s="102"/>
      <c r="D44" s="102"/>
      <c r="E44" s="115"/>
      <c r="F44" s="174"/>
      <c r="G44" s="102"/>
      <c r="H44" s="102"/>
      <c r="I44" s="115"/>
      <c r="J44" s="191" t="s">
        <v>104</v>
      </c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15"/>
      <c r="AZ44" s="164"/>
    </row>
    <row r="45" ht="11.25" customHeight="1">
      <c r="A45" s="95"/>
      <c r="B45" s="171"/>
      <c r="C45" s="102"/>
      <c r="D45" s="102"/>
      <c r="E45" s="115"/>
      <c r="F45" s="174"/>
      <c r="G45" s="102"/>
      <c r="H45" s="102"/>
      <c r="I45" s="115"/>
      <c r="J45" s="193" t="s">
        <v>105</v>
      </c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15"/>
      <c r="AZ45" s="164"/>
    </row>
    <row r="46" ht="11.25" customHeight="1">
      <c r="A46" s="95"/>
      <c r="B46" s="171"/>
      <c r="C46" s="102"/>
      <c r="D46" s="102"/>
      <c r="E46" s="115"/>
      <c r="F46" s="174"/>
      <c r="G46" s="102"/>
      <c r="H46" s="102"/>
      <c r="I46" s="115"/>
      <c r="J46" s="191" t="s">
        <v>108</v>
      </c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15"/>
      <c r="AZ46" s="164"/>
    </row>
    <row r="47" ht="11.25" customHeight="1">
      <c r="A47" s="95"/>
      <c r="B47" s="171"/>
      <c r="C47" s="102"/>
      <c r="D47" s="102"/>
      <c r="E47" s="115"/>
      <c r="F47" s="174"/>
      <c r="G47" s="102"/>
      <c r="H47" s="102"/>
      <c r="I47" s="115"/>
      <c r="J47" s="193" t="s">
        <v>109</v>
      </c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15"/>
      <c r="AZ47" s="164"/>
    </row>
    <row r="48" ht="11.25" customHeight="1">
      <c r="A48" s="95"/>
      <c r="B48" s="171"/>
      <c r="C48" s="102"/>
      <c r="D48" s="102"/>
      <c r="E48" s="115"/>
      <c r="F48" s="174"/>
      <c r="G48" s="102"/>
      <c r="H48" s="102"/>
      <c r="I48" s="115"/>
      <c r="J48" s="191" t="s">
        <v>110</v>
      </c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15"/>
      <c r="AZ48" s="164"/>
    </row>
    <row r="49" ht="11.25" customHeight="1">
      <c r="A49" s="95"/>
      <c r="B49" s="171"/>
      <c r="C49" s="102"/>
      <c r="D49" s="102"/>
      <c r="E49" s="115"/>
      <c r="F49" s="174"/>
      <c r="G49" s="102"/>
      <c r="H49" s="102"/>
      <c r="I49" s="115"/>
      <c r="J49" s="198" t="s">
        <v>111</v>
      </c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15"/>
      <c r="AZ49" s="164"/>
    </row>
    <row r="50" ht="11.25" customHeight="1">
      <c r="A50" s="95"/>
      <c r="B50" s="171"/>
      <c r="C50" s="102"/>
      <c r="D50" s="102"/>
      <c r="E50" s="115"/>
      <c r="F50" s="171"/>
      <c r="G50" s="102"/>
      <c r="H50" s="102"/>
      <c r="I50" s="115"/>
      <c r="J50" s="200" t="s">
        <v>113</v>
      </c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15"/>
      <c r="AZ50" s="164"/>
    </row>
    <row r="51" ht="11.25" customHeight="1">
      <c r="A51" s="95"/>
      <c r="B51" s="171"/>
      <c r="C51" s="102"/>
      <c r="D51" s="102"/>
      <c r="E51" s="115"/>
      <c r="F51" s="171"/>
      <c r="G51" s="102"/>
      <c r="H51" s="102"/>
      <c r="I51" s="115"/>
      <c r="J51" s="193" t="s">
        <v>116</v>
      </c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15"/>
      <c r="AZ51" s="164"/>
    </row>
    <row r="52" ht="11.25" customHeight="1">
      <c r="A52" s="95"/>
      <c r="B52" s="171"/>
      <c r="C52" s="102"/>
      <c r="D52" s="102"/>
      <c r="E52" s="115"/>
      <c r="F52" s="171"/>
      <c r="G52" s="102"/>
      <c r="H52" s="102"/>
      <c r="I52" s="115"/>
      <c r="J52" s="191" t="s">
        <v>119</v>
      </c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15"/>
      <c r="AZ52" s="164"/>
    </row>
    <row r="53" ht="11.25" customHeight="1">
      <c r="A53" s="95"/>
      <c r="B53" s="171"/>
      <c r="C53" s="102"/>
      <c r="D53" s="102"/>
      <c r="E53" s="115"/>
      <c r="F53" s="174"/>
      <c r="G53" s="102"/>
      <c r="H53" s="102"/>
      <c r="I53" s="115"/>
      <c r="J53" s="193" t="s">
        <v>122</v>
      </c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15"/>
      <c r="AZ53" s="164"/>
    </row>
    <row r="54" ht="11.25" customHeight="1">
      <c r="A54" s="95"/>
      <c r="B54" s="171"/>
      <c r="C54" s="102"/>
      <c r="D54" s="102"/>
      <c r="E54" s="115"/>
      <c r="F54" s="174"/>
      <c r="G54" s="102"/>
      <c r="H54" s="102"/>
      <c r="I54" s="115"/>
      <c r="J54" s="191" t="s">
        <v>124</v>
      </c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15"/>
      <c r="AZ54" s="164"/>
    </row>
    <row r="55" ht="11.25" customHeight="1">
      <c r="A55" s="95"/>
      <c r="B55" s="171"/>
      <c r="C55" s="102"/>
      <c r="D55" s="102"/>
      <c r="E55" s="115"/>
      <c r="F55" s="174"/>
      <c r="G55" s="102"/>
      <c r="H55" s="102"/>
      <c r="I55" s="115"/>
      <c r="J55" s="193" t="s">
        <v>125</v>
      </c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15"/>
      <c r="AZ55" s="164"/>
    </row>
    <row r="56" ht="11.25" customHeight="1">
      <c r="A56" s="95"/>
      <c r="B56" s="171"/>
      <c r="C56" s="102"/>
      <c r="D56" s="102"/>
      <c r="E56" s="115"/>
      <c r="F56" s="174"/>
      <c r="G56" s="102"/>
      <c r="H56" s="102"/>
      <c r="I56" s="115"/>
      <c r="J56" s="191" t="s">
        <v>127</v>
      </c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15"/>
      <c r="AZ56" s="164"/>
    </row>
    <row r="57" ht="11.25" customHeight="1">
      <c r="A57" s="95"/>
      <c r="B57" s="171"/>
      <c r="C57" s="102"/>
      <c r="D57" s="102"/>
      <c r="E57" s="115"/>
      <c r="F57" s="171"/>
      <c r="G57" s="102"/>
      <c r="H57" s="102"/>
      <c r="I57" s="115"/>
      <c r="J57" s="193" t="s">
        <v>129</v>
      </c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15"/>
      <c r="AZ57" s="164"/>
    </row>
    <row r="58" ht="11.25" customHeight="1">
      <c r="A58" s="95"/>
      <c r="B58" s="171"/>
      <c r="C58" s="102"/>
      <c r="D58" s="102"/>
      <c r="E58" s="115"/>
      <c r="F58" s="174"/>
      <c r="G58" s="102"/>
      <c r="H58" s="102"/>
      <c r="I58" s="115"/>
      <c r="J58" s="191" t="s">
        <v>55</v>
      </c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15"/>
      <c r="AZ58" s="164"/>
    </row>
    <row r="59" ht="11.25" customHeight="1">
      <c r="A59" s="95"/>
      <c r="B59" s="171"/>
      <c r="C59" s="102"/>
      <c r="D59" s="102"/>
      <c r="E59" s="115"/>
      <c r="F59" s="171"/>
      <c r="G59" s="102"/>
      <c r="H59" s="102"/>
      <c r="I59" s="115"/>
      <c r="J59" s="193" t="s">
        <v>134</v>
      </c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15"/>
      <c r="AZ59" s="164"/>
    </row>
    <row r="60" ht="11.25" customHeight="1">
      <c r="A60" s="95"/>
      <c r="B60" s="171"/>
      <c r="C60" s="102"/>
      <c r="D60" s="102"/>
      <c r="E60" s="115"/>
      <c r="F60" s="174"/>
      <c r="G60" s="102"/>
      <c r="H60" s="102"/>
      <c r="I60" s="115"/>
      <c r="J60" s="191" t="s">
        <v>137</v>
      </c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15"/>
      <c r="AZ60" s="164"/>
    </row>
    <row r="61" ht="11.25" customHeight="1">
      <c r="A61" s="95"/>
      <c r="B61" s="171"/>
      <c r="C61" s="102"/>
      <c r="D61" s="102"/>
      <c r="E61" s="115"/>
      <c r="F61" s="174"/>
      <c r="G61" s="102"/>
      <c r="H61" s="102"/>
      <c r="I61" s="115"/>
      <c r="J61" s="193" t="s">
        <v>138</v>
      </c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15"/>
      <c r="AZ61" s="164"/>
    </row>
    <row r="62" ht="11.25" customHeight="1">
      <c r="A62" s="95"/>
      <c r="B62" s="171"/>
      <c r="C62" s="102"/>
      <c r="D62" s="102"/>
      <c r="E62" s="115"/>
      <c r="F62" s="171"/>
      <c r="G62" s="102"/>
      <c r="H62" s="102"/>
      <c r="I62" s="115"/>
      <c r="J62" s="191" t="s">
        <v>140</v>
      </c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15"/>
      <c r="AZ62" s="164"/>
    </row>
    <row r="63" ht="13.5" customHeight="1">
      <c r="A63" s="95"/>
      <c r="B63" s="171"/>
      <c r="C63" s="102"/>
      <c r="D63" s="102"/>
      <c r="E63" s="115"/>
      <c r="F63" s="174"/>
      <c r="G63" s="102"/>
      <c r="H63" s="102"/>
      <c r="I63" s="115"/>
      <c r="J63" s="193" t="s">
        <v>143</v>
      </c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15"/>
      <c r="AZ63" s="164"/>
    </row>
    <row r="64" ht="13.5" customHeight="1">
      <c r="A64" s="1"/>
      <c r="B64" s="171"/>
      <c r="C64" s="102"/>
      <c r="D64" s="102"/>
      <c r="E64" s="115"/>
      <c r="F64" s="174"/>
      <c r="G64" s="102"/>
      <c r="H64" s="102"/>
      <c r="I64" s="115"/>
      <c r="J64" s="215" t="s">
        <v>145</v>
      </c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8"/>
      <c r="AZ64" s="1"/>
    </row>
    <row r="65" ht="14.25" customHeight="1">
      <c r="A65" s="216"/>
      <c r="B65" s="171"/>
      <c r="C65" s="102"/>
      <c r="D65" s="102"/>
      <c r="E65" s="115"/>
      <c r="F65" s="174"/>
      <c r="G65" s="102"/>
      <c r="H65" s="102"/>
      <c r="I65" s="115"/>
      <c r="J65" s="218" t="s">
        <v>146</v>
      </c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8"/>
      <c r="AZ65" s="1"/>
    </row>
    <row r="66" ht="10.5" customHeight="1">
      <c r="A66" s="216"/>
      <c r="B66" s="171"/>
      <c r="C66" s="102"/>
      <c r="D66" s="102"/>
      <c r="E66" s="115"/>
      <c r="F66" s="171"/>
      <c r="G66" s="102"/>
      <c r="H66" s="102"/>
      <c r="I66" s="115"/>
      <c r="J66" s="219" t="s">
        <v>148</v>
      </c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8"/>
      <c r="AZ66" s="216"/>
    </row>
    <row r="67" ht="15.75" customHeight="1">
      <c r="A67" s="216"/>
      <c r="B67" s="171"/>
      <c r="C67" s="102"/>
      <c r="D67" s="102"/>
      <c r="E67" s="115"/>
      <c r="F67" s="171"/>
      <c r="G67" s="102"/>
      <c r="H67" s="102"/>
      <c r="I67" s="115"/>
      <c r="J67" s="221" t="s">
        <v>151</v>
      </c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8"/>
      <c r="AZ67" s="216"/>
    </row>
    <row r="68" ht="15.75" customHeight="1">
      <c r="A68" s="216"/>
      <c r="B68" s="171"/>
      <c r="C68" s="102"/>
      <c r="D68" s="102"/>
      <c r="E68" s="115"/>
      <c r="F68" s="171"/>
      <c r="G68" s="102"/>
      <c r="H68" s="102"/>
      <c r="I68" s="115"/>
      <c r="J68" s="222" t="s">
        <v>152</v>
      </c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8"/>
      <c r="AZ68" s="216"/>
    </row>
    <row r="69" ht="15.75" customHeight="1">
      <c r="A69" s="216"/>
      <c r="B69" s="171"/>
      <c r="C69" s="102"/>
      <c r="D69" s="102"/>
      <c r="E69" s="115"/>
      <c r="F69" s="171"/>
      <c r="G69" s="102"/>
      <c r="H69" s="102"/>
      <c r="I69" s="115"/>
      <c r="J69" s="226" t="s">
        <v>153</v>
      </c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8"/>
      <c r="AZ69" s="216"/>
    </row>
    <row r="70" ht="15.75" customHeight="1">
      <c r="A70" s="216"/>
      <c r="B70" s="171"/>
      <c r="C70" s="102"/>
      <c r="D70" s="102"/>
      <c r="E70" s="115"/>
      <c r="F70" s="171"/>
      <c r="G70" s="102"/>
      <c r="H70" s="102"/>
      <c r="I70" s="115"/>
      <c r="J70" s="228" t="s">
        <v>156</v>
      </c>
      <c r="AY70" s="229"/>
      <c r="AZ70" s="216"/>
    </row>
    <row r="71" ht="15.75" customHeight="1">
      <c r="A71" s="216"/>
      <c r="B71" s="171"/>
      <c r="C71" s="102"/>
      <c r="D71" s="102"/>
      <c r="E71" s="115"/>
      <c r="F71" s="171"/>
      <c r="G71" s="102"/>
      <c r="H71" s="102"/>
      <c r="I71" s="115"/>
      <c r="J71" s="198" t="s">
        <v>158</v>
      </c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15"/>
      <c r="AZ71" s="216"/>
    </row>
    <row r="72" ht="15.75" customHeight="1">
      <c r="A72" s="216"/>
      <c r="B72" s="171"/>
      <c r="C72" s="102"/>
      <c r="D72" s="102"/>
      <c r="E72" s="115"/>
      <c r="F72" s="171"/>
      <c r="G72" s="102"/>
      <c r="H72" s="102"/>
      <c r="I72" s="115"/>
      <c r="J72" s="219" t="s">
        <v>160</v>
      </c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232"/>
      <c r="AY72" s="233"/>
      <c r="AZ72" s="216"/>
    </row>
    <row r="73" ht="15.75" customHeight="1">
      <c r="A73" s="216"/>
      <c r="B73" s="171"/>
      <c r="C73" s="102"/>
      <c r="D73" s="102"/>
      <c r="E73" s="115"/>
      <c r="F73" s="171"/>
      <c r="G73" s="102"/>
      <c r="H73" s="102"/>
      <c r="I73" s="115"/>
      <c r="J73" s="221" t="s">
        <v>162</v>
      </c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235"/>
      <c r="AY73" s="236"/>
      <c r="AZ73" s="216"/>
    </row>
    <row r="74" ht="15.75" customHeight="1">
      <c r="A74" s="216"/>
      <c r="B74" s="171"/>
      <c r="C74" s="102"/>
      <c r="D74" s="102"/>
      <c r="E74" s="115"/>
      <c r="F74" s="171"/>
      <c r="G74" s="102"/>
      <c r="H74" s="102"/>
      <c r="I74" s="115"/>
      <c r="J74" s="238" t="s">
        <v>164</v>
      </c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239"/>
      <c r="AY74" s="240"/>
      <c r="AZ74" s="216"/>
    </row>
    <row r="75" ht="15.75" customHeight="1">
      <c r="A75" s="216"/>
      <c r="B75" s="171"/>
      <c r="C75" s="102"/>
      <c r="D75" s="102"/>
      <c r="E75" s="115"/>
      <c r="F75" s="171"/>
      <c r="G75" s="102"/>
      <c r="H75" s="102"/>
      <c r="I75" s="115"/>
      <c r="J75" s="241" t="s">
        <v>166</v>
      </c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15"/>
      <c r="AZ75" s="216"/>
    </row>
    <row r="76" ht="15.75" customHeight="1">
      <c r="A76" s="216"/>
      <c r="B76" s="244"/>
      <c r="C76" s="161"/>
      <c r="D76" s="161"/>
      <c r="E76" s="163"/>
      <c r="F76" s="245"/>
      <c r="G76" s="161"/>
      <c r="H76" s="161"/>
      <c r="I76" s="163"/>
      <c r="J76" s="246" t="s">
        <v>168</v>
      </c>
      <c r="AY76" s="229"/>
      <c r="AZ76" s="216"/>
    </row>
    <row r="77" ht="3.0" customHeight="1"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  <c r="AT77" s="216"/>
      <c r="AU77" s="216"/>
      <c r="AV77" s="216"/>
      <c r="AW77" s="216"/>
      <c r="AX77" s="216"/>
      <c r="AY77" s="216"/>
      <c r="AZ77" s="216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AR5:AR12"/>
    <mergeCell ref="BA5:BA12"/>
    <mergeCell ref="AR14:AR21"/>
    <mergeCell ref="BA14:BA21"/>
    <mergeCell ref="BI5:BI12"/>
    <mergeCell ref="BQ5:BQ12"/>
    <mergeCell ref="BI14:BI21"/>
    <mergeCell ref="BQ14:BQ21"/>
    <mergeCell ref="B2:AY2"/>
    <mergeCell ref="BA2:BY2"/>
    <mergeCell ref="B3:AY3"/>
    <mergeCell ref="BA3:BY3"/>
    <mergeCell ref="B5:B12"/>
    <mergeCell ref="J5:J12"/>
    <mergeCell ref="R5:R12"/>
    <mergeCell ref="AB5:AB12"/>
    <mergeCell ref="AJ5:AJ12"/>
    <mergeCell ref="B14:B21"/>
    <mergeCell ref="J14:J21"/>
    <mergeCell ref="R14:R21"/>
    <mergeCell ref="AB14:AB21"/>
    <mergeCell ref="AJ14:AJ21"/>
    <mergeCell ref="BN23:BV24"/>
    <mergeCell ref="BW23:BX24"/>
    <mergeCell ref="B24:H24"/>
    <mergeCell ref="I24:N24"/>
    <mergeCell ref="BB24:BG24"/>
    <mergeCell ref="BH24:BM24"/>
    <mergeCell ref="AB24:AH24"/>
    <mergeCell ref="AI24:AN24"/>
    <mergeCell ref="B23:N23"/>
    <mergeCell ref="O23:W24"/>
    <mergeCell ref="X23:Y24"/>
    <mergeCell ref="AB23:AN23"/>
    <mergeCell ref="AO23:AW24"/>
    <mergeCell ref="AX23:AY24"/>
    <mergeCell ref="BB23:BM23"/>
    <mergeCell ref="B25:H25"/>
    <mergeCell ref="AB25:AH25"/>
    <mergeCell ref="BB25:BK25"/>
    <mergeCell ref="BL25:BM25"/>
    <mergeCell ref="BN25:BU25"/>
    <mergeCell ref="BV25:BX25"/>
    <mergeCell ref="C27:AY27"/>
    <mergeCell ref="R28:V28"/>
    <mergeCell ref="R29:V29"/>
    <mergeCell ref="AI28:AO28"/>
    <mergeCell ref="AI29:AO29"/>
    <mergeCell ref="B28:G28"/>
    <mergeCell ref="J28:O28"/>
    <mergeCell ref="Y28:AF28"/>
    <mergeCell ref="AR28:AX28"/>
    <mergeCell ref="B29:G29"/>
    <mergeCell ref="J29:O29"/>
    <mergeCell ref="Y29:AF29"/>
    <mergeCell ref="K32:R32"/>
    <mergeCell ref="K33:R33"/>
    <mergeCell ref="J45:AY45"/>
    <mergeCell ref="J46:AY46"/>
    <mergeCell ref="J47:AY47"/>
    <mergeCell ref="J48:AY48"/>
    <mergeCell ref="J49:AY49"/>
    <mergeCell ref="J50:AY50"/>
    <mergeCell ref="J51:AY51"/>
    <mergeCell ref="J52:AY52"/>
    <mergeCell ref="J53:AY53"/>
    <mergeCell ref="J54:AY54"/>
    <mergeCell ref="J55:AY55"/>
    <mergeCell ref="J56:AY56"/>
    <mergeCell ref="J57:AY57"/>
    <mergeCell ref="J58:AY58"/>
    <mergeCell ref="J59:AY59"/>
    <mergeCell ref="J60:AY60"/>
    <mergeCell ref="J61:AY61"/>
    <mergeCell ref="J62:AY62"/>
    <mergeCell ref="J63:AY63"/>
    <mergeCell ref="J64:AY64"/>
    <mergeCell ref="J65:AY65"/>
    <mergeCell ref="J73:AW73"/>
    <mergeCell ref="J74:AW74"/>
    <mergeCell ref="J75:AY75"/>
    <mergeCell ref="J76:AY76"/>
    <mergeCell ref="J66:AY66"/>
    <mergeCell ref="J67:AY67"/>
    <mergeCell ref="J68:AY68"/>
    <mergeCell ref="J69:AY69"/>
    <mergeCell ref="J70:AY70"/>
    <mergeCell ref="J71:AY71"/>
    <mergeCell ref="J72:AW72"/>
    <mergeCell ref="AQ29:AY29"/>
    <mergeCell ref="B30:AY30"/>
    <mergeCell ref="K31:R31"/>
    <mergeCell ref="T31:AA31"/>
    <mergeCell ref="AC31:AJ31"/>
    <mergeCell ref="AL31:AS31"/>
    <mergeCell ref="AU31:AY31"/>
    <mergeCell ref="AC32:AJ32"/>
    <mergeCell ref="AC33:AJ33"/>
    <mergeCell ref="AC34:AJ34"/>
    <mergeCell ref="AU32:AY32"/>
    <mergeCell ref="AU33:AY33"/>
    <mergeCell ref="B31:I31"/>
    <mergeCell ref="B32:I32"/>
    <mergeCell ref="T32:AA32"/>
    <mergeCell ref="AL32:AS32"/>
    <mergeCell ref="B33:I33"/>
    <mergeCell ref="T33:AA33"/>
    <mergeCell ref="AL33:AS33"/>
    <mergeCell ref="J37:AY37"/>
    <mergeCell ref="J38:AY38"/>
    <mergeCell ref="J39:AY39"/>
    <mergeCell ref="B34:I34"/>
    <mergeCell ref="K34:R34"/>
    <mergeCell ref="T34:AA34"/>
    <mergeCell ref="AL34:AS34"/>
    <mergeCell ref="B35:I35"/>
    <mergeCell ref="J35:AY36"/>
    <mergeCell ref="F36:I36"/>
    <mergeCell ref="B40:E40"/>
    <mergeCell ref="F40:I40"/>
    <mergeCell ref="J40:AY40"/>
    <mergeCell ref="J41:AY41"/>
    <mergeCell ref="J42:AY42"/>
    <mergeCell ref="J43:AY43"/>
    <mergeCell ref="J44:AY44"/>
    <mergeCell ref="B58:E58"/>
    <mergeCell ref="B59:E59"/>
    <mergeCell ref="B60:E60"/>
    <mergeCell ref="B61:E61"/>
    <mergeCell ref="B62:E62"/>
    <mergeCell ref="B63:E63"/>
    <mergeCell ref="B64:E64"/>
    <mergeCell ref="B72:E72"/>
    <mergeCell ref="B73:E73"/>
    <mergeCell ref="B74:E74"/>
    <mergeCell ref="B75:E75"/>
    <mergeCell ref="B76:E76"/>
    <mergeCell ref="B65:E65"/>
    <mergeCell ref="B66:E66"/>
    <mergeCell ref="B67:E67"/>
    <mergeCell ref="B68:E68"/>
    <mergeCell ref="B69:E69"/>
    <mergeCell ref="B70:E70"/>
    <mergeCell ref="B71:E71"/>
    <mergeCell ref="F73:I73"/>
    <mergeCell ref="F74:I74"/>
    <mergeCell ref="F75:I75"/>
    <mergeCell ref="F76:I76"/>
    <mergeCell ref="F66:I66"/>
    <mergeCell ref="F67:I67"/>
    <mergeCell ref="F68:I68"/>
    <mergeCell ref="F69:I69"/>
    <mergeCell ref="F70:I70"/>
    <mergeCell ref="F71:I71"/>
    <mergeCell ref="F72:I72"/>
    <mergeCell ref="B36:E36"/>
    <mergeCell ref="B37:E37"/>
    <mergeCell ref="F37:I37"/>
    <mergeCell ref="B38:E38"/>
    <mergeCell ref="F38:I38"/>
    <mergeCell ref="B39:E39"/>
    <mergeCell ref="F39:I39"/>
    <mergeCell ref="B41:E41"/>
    <mergeCell ref="F41:I41"/>
    <mergeCell ref="B42:E42"/>
    <mergeCell ref="F42:I42"/>
    <mergeCell ref="B43:E43"/>
    <mergeCell ref="F43:I43"/>
    <mergeCell ref="F44:I44"/>
    <mergeCell ref="B44:E44"/>
    <mergeCell ref="B45:E45"/>
    <mergeCell ref="B46:E46"/>
    <mergeCell ref="B47:E47"/>
    <mergeCell ref="B48:E48"/>
    <mergeCell ref="B49:E49"/>
    <mergeCell ref="B50:E50"/>
    <mergeCell ref="F45:I45"/>
    <mergeCell ref="F46:I46"/>
    <mergeCell ref="F47:I47"/>
    <mergeCell ref="F48:I48"/>
    <mergeCell ref="F49:I49"/>
    <mergeCell ref="F50:I50"/>
    <mergeCell ref="F51:I51"/>
    <mergeCell ref="B51:E51"/>
    <mergeCell ref="B52:E52"/>
    <mergeCell ref="B53:E53"/>
    <mergeCell ref="B54:E54"/>
    <mergeCell ref="B55:E55"/>
    <mergeCell ref="B56:E56"/>
    <mergeCell ref="B57:E57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</mergeCells>
  <conditionalFormatting sqref="B52">
    <cfRule type="cellIs" dxfId="1" priority="1" operator="equal">
      <formula>"Data de início e fim do semestre "</formula>
    </cfRule>
  </conditionalFormatting>
  <conditionalFormatting sqref="B52">
    <cfRule type="cellIs" dxfId="2" priority="2" operator="equal">
      <formula>"Renovação de matrícula para estudantes remanescentes, online ou presencial."</formula>
    </cfRule>
  </conditionalFormatting>
  <conditionalFormatting sqref="B52">
    <cfRule type="cellIs" dxfId="3" priority="3" operator="equal">
      <formula>"Inicio e término do período letivo"</formula>
    </cfRule>
  </conditionalFormatting>
  <conditionalFormatting sqref="B52">
    <cfRule type="cellIs" dxfId="4" priority="4" operator="equal">
      <formula>"Publicação de Edital para ""Programas Universais - Assistência Estudantil"" "</formula>
    </cfRule>
  </conditionalFormatting>
  <conditionalFormatting sqref="B52">
    <cfRule type="cellIs" dxfId="5" priority="5" operator="equal">
      <formula>"Férias docentes - 1ª parcela: correspondente ao ano de"</formula>
    </cfRule>
  </conditionalFormatting>
  <conditionalFormatting sqref="B52">
    <cfRule type="cellIs" dxfId="6" priority="6" operator="equal">
      <formula>"Férias docentes - 2ª parcela: correspondente ao ano de"</formula>
    </cfRule>
  </conditionalFormatting>
  <conditionalFormatting sqref="B52">
    <cfRule type="cellIs" dxfId="7" priority="7" operator="equal">
      <formula>"Publicação de Edital para ""Programas Complementares - Assistência Estudantil"""</formula>
    </cfRule>
  </conditionalFormatting>
  <conditionalFormatting sqref="B52">
    <cfRule type="cellIs" dxfId="8" priority="8" operator="equal">
      <formula>"Matrícula Institucional dos aprovados nas solicitações de Transferências Interna e Externa e de Portador de Diploma ou Certificado de Qualificação Profissional Técnica de Nível Médio"</formula>
    </cfRule>
  </conditionalFormatting>
  <conditionalFormatting sqref="B52">
    <cfRule type="cellIs" dxfId="9" priority="9" operator="equal">
      <formula>"Solicitação de Reintegração"</formula>
    </cfRule>
  </conditionalFormatting>
  <conditionalFormatting sqref="B52">
    <cfRule type="cellIs" dxfId="10" priority="10" operator="equal">
      <formula>"Eventos acadêmicos, artísticos culturais e desportivos de congregação e congraçamento intercampi  ou Eventos didáticos pedagógicos."</formula>
    </cfRule>
  </conditionalFormatting>
  <conditionalFormatting sqref="B52">
    <cfRule type="cellIs" dxfId="11" priority="11" operator="equal">
      <formula>"Eventos do dia Nacional da Consciência negra - (20 de novembro)"</formula>
    </cfRule>
  </conditionalFormatting>
  <conditionalFormatting sqref="B52">
    <cfRule type="cellIs" dxfId="12" priority="12" operator="equal">
      <formula>"Semana de Ciência e Tecnologia"</formula>
    </cfRule>
  </conditionalFormatting>
  <conditionalFormatting sqref="B52">
    <cfRule type="cellIs" dxfId="13" priority="13" operator="equal">
      <formula>"Planejamento de ensino "</formula>
    </cfRule>
  </conditionalFormatting>
  <conditionalFormatting sqref="B52">
    <cfRule type="cellIs" dxfId="14" priority="14" operator="equal">
      <formula>"Solicitação para mudança de turno"</formula>
    </cfRule>
  </conditionalFormatting>
  <conditionalFormatting sqref="B52">
    <cfRule type="cellIs" dxfId="15" priority="15" operator="equal">
      <formula>"Matrícula Institucional dos candidatos aprovados em Processo Seletivo"</formula>
    </cfRule>
  </conditionalFormatting>
  <conditionalFormatting sqref="B52">
    <cfRule type="cellIs" dxfId="16" priority="16" operator="equal">
      <formula>"Jornada Pedagógica"</formula>
    </cfRule>
  </conditionalFormatting>
  <conditionalFormatting sqref="B52">
    <cfRule type="cellIs" dxfId="17" priority="17" operator="equal">
      <formula>"Acolhimento e integração do aluno ao campus"</formula>
    </cfRule>
  </conditionalFormatting>
  <conditionalFormatting sqref="B54">
    <cfRule type="cellIs" dxfId="1" priority="18" operator="equal">
      <formula>"Data de início e fim do semestre "</formula>
    </cfRule>
  </conditionalFormatting>
  <conditionalFormatting sqref="B54">
    <cfRule type="cellIs" dxfId="2" priority="19" operator="equal">
      <formula>"Renovação de matrícula para estudantes remanescentes, online ou presencial."</formula>
    </cfRule>
  </conditionalFormatting>
  <conditionalFormatting sqref="B54">
    <cfRule type="cellIs" dxfId="3" priority="20" operator="equal">
      <formula>"Inicio e término do período letivo"</formula>
    </cfRule>
  </conditionalFormatting>
  <conditionalFormatting sqref="B54">
    <cfRule type="cellIs" dxfId="4" priority="21" operator="equal">
      <formula>"Publicação de Edital para ""Programas Universais - Assistência Estudantil"" "</formula>
    </cfRule>
  </conditionalFormatting>
  <conditionalFormatting sqref="B54">
    <cfRule type="cellIs" dxfId="5" priority="22" operator="equal">
      <formula>"Férias docentes - 1ª parcela: correspondente ao ano de"</formula>
    </cfRule>
  </conditionalFormatting>
  <conditionalFormatting sqref="B54">
    <cfRule type="cellIs" dxfId="6" priority="23" operator="equal">
      <formula>"Férias docentes - 2ª parcela: correspondente ao ano de"</formula>
    </cfRule>
  </conditionalFormatting>
  <conditionalFormatting sqref="B54">
    <cfRule type="cellIs" dxfId="7" priority="24" operator="equal">
      <formula>"Publicação de Edital para ""Programas Complementares - Assistência Estudantil"""</formula>
    </cfRule>
  </conditionalFormatting>
  <conditionalFormatting sqref="B54">
    <cfRule type="cellIs" dxfId="8" priority="25" operator="equal">
      <formula>"Matrícula Institucional dos aprovados nas solicitações de Transferências Interna e Externa e de Portador de Diploma ou Certificado de Qualificação Profissional Técnica de Nível Médio"</formula>
    </cfRule>
  </conditionalFormatting>
  <conditionalFormatting sqref="B54">
    <cfRule type="cellIs" dxfId="9" priority="26" operator="equal">
      <formula>"Solicitação de Reintegração"</formula>
    </cfRule>
  </conditionalFormatting>
  <conditionalFormatting sqref="B54">
    <cfRule type="cellIs" dxfId="10" priority="27" operator="equal">
      <formula>"Eventos acadêmicos, artísticos culturais e desportivos de congregação e congraçamento intercampi  ou Eventos didáticos pedagógicos."</formula>
    </cfRule>
  </conditionalFormatting>
  <conditionalFormatting sqref="B54">
    <cfRule type="cellIs" dxfId="11" priority="28" operator="equal">
      <formula>"Eventos do dia Nacional da Consciência negra - (20 de novembro)"</formula>
    </cfRule>
  </conditionalFormatting>
  <conditionalFormatting sqref="B54">
    <cfRule type="cellIs" dxfId="12" priority="29" operator="equal">
      <formula>"Semana de Ciência e Tecnologia"</formula>
    </cfRule>
  </conditionalFormatting>
  <conditionalFormatting sqref="B54">
    <cfRule type="cellIs" dxfId="13" priority="30" operator="equal">
      <formula>"Planejamento de ensino "</formula>
    </cfRule>
  </conditionalFormatting>
  <conditionalFormatting sqref="B54">
    <cfRule type="cellIs" dxfId="14" priority="31" operator="equal">
      <formula>"Solicitação para mudança de turno"</formula>
    </cfRule>
  </conditionalFormatting>
  <conditionalFormatting sqref="B54">
    <cfRule type="cellIs" dxfId="15" priority="32" operator="equal">
      <formula>"Matrícula Institucional dos candidatos aprovados em Processo Seletivo"</formula>
    </cfRule>
  </conditionalFormatting>
  <conditionalFormatting sqref="B54">
    <cfRule type="cellIs" dxfId="16" priority="33" operator="equal">
      <formula>"Jornada Pedagógica"</formula>
    </cfRule>
  </conditionalFormatting>
  <conditionalFormatting sqref="B54">
    <cfRule type="cellIs" dxfId="17" priority="34" operator="equal">
      <formula>"Acolhimento e integração do aluno ao campus"</formula>
    </cfRule>
  </conditionalFormatting>
  <printOptions horizontalCentered="1"/>
  <pageMargins bottom="0.118055555555556" footer="0.0" header="0.0" left="0.196527777777778" right="0.118055555555556" top="0.19652777777777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2016-11-04T21:36:59Z</dcterms:created>
  <dc:creator>serdip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